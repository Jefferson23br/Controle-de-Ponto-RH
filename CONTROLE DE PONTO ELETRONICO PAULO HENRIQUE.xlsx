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V:\Santa Maria\ADMINISTRATIVO\CONTROLE DE HORAS\PAULO HENRIQUE\"/>
    </mc:Choice>
  </mc:AlternateContent>
  <xr:revisionPtr revIDLastSave="0" documentId="13_ncr:1_{4D3BF640-F5DD-4255-ADE3-FF11D667FF13}" xr6:coauthVersionLast="47" xr6:coauthVersionMax="47" xr10:uidLastSave="{00000000-0000-0000-0000-000000000000}"/>
  <bookViews>
    <workbookView xWindow="-120" yWindow="-120" windowWidth="29040" windowHeight="15990" firstSheet="5" activeTab="9" xr2:uid="{00000000-000D-0000-FFFF-FFFF00000000}"/>
  </bookViews>
  <sheets>
    <sheet name="MODELO" sheetId="4" r:id="rId1"/>
    <sheet name="AGOSTO 2025" sheetId="48" r:id="rId2"/>
    <sheet name="SETEMBRO 2025" sheetId="49" r:id="rId3"/>
    <sheet name="OUTUBRO 2025" sheetId="50" r:id="rId4"/>
    <sheet name="NOVEMBRO 2025" sheetId="51" r:id="rId5"/>
    <sheet name="DEZEMBRO 2025" sheetId="52" r:id="rId6"/>
    <sheet name="JANEIRO 2026" sheetId="53" r:id="rId7"/>
    <sheet name="FEVEREIRO" sheetId="54" r:id="rId8"/>
    <sheet name="MARÇO 2026" sheetId="55" r:id="rId9"/>
    <sheet name="ABRIL 2026" sheetId="5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56" l="1"/>
  <c r="M34" i="56"/>
  <c r="K34" i="56"/>
  <c r="J34" i="56"/>
  <c r="M33" i="56"/>
  <c r="N33" i="56" s="1"/>
  <c r="P33" i="56" s="1"/>
  <c r="K33" i="56"/>
  <c r="J33" i="56"/>
  <c r="M32" i="56"/>
  <c r="N32" i="56" s="1"/>
  <c r="P32" i="56" s="1"/>
  <c r="K32" i="56"/>
  <c r="J32" i="56"/>
  <c r="O31" i="56"/>
  <c r="M31" i="56"/>
  <c r="N31" i="56" s="1"/>
  <c r="P31" i="56" s="1"/>
  <c r="K31" i="56"/>
  <c r="J31" i="56"/>
  <c r="M28" i="56"/>
  <c r="K28" i="56"/>
  <c r="J28" i="56"/>
  <c r="M27" i="56"/>
  <c r="K27" i="56"/>
  <c r="J27" i="56"/>
  <c r="M26" i="56"/>
  <c r="K26" i="56"/>
  <c r="J26" i="56"/>
  <c r="N26" i="56" s="1"/>
  <c r="P26" i="56" s="1"/>
  <c r="O24" i="56"/>
  <c r="M24" i="56"/>
  <c r="K24" i="56"/>
  <c r="J24" i="56"/>
  <c r="M21" i="56"/>
  <c r="N21" i="56" s="1"/>
  <c r="P21" i="56" s="1"/>
  <c r="K21" i="56"/>
  <c r="J21" i="56"/>
  <c r="M20" i="56"/>
  <c r="K20" i="56"/>
  <c r="J20" i="56"/>
  <c r="M19" i="56"/>
  <c r="K19" i="56"/>
  <c r="J19" i="56"/>
  <c r="N19" i="56" s="1"/>
  <c r="P19" i="56" s="1"/>
  <c r="M18" i="56"/>
  <c r="K18" i="56"/>
  <c r="J18" i="56"/>
  <c r="O17" i="56"/>
  <c r="M17" i="56"/>
  <c r="K17" i="56"/>
  <c r="J17" i="56"/>
  <c r="M14" i="56"/>
  <c r="K14" i="56"/>
  <c r="J14" i="56"/>
  <c r="M13" i="56"/>
  <c r="N13" i="56" s="1"/>
  <c r="P13" i="56" s="1"/>
  <c r="K13" i="56"/>
  <c r="J13" i="56"/>
  <c r="M12" i="56"/>
  <c r="K12" i="56"/>
  <c r="J12" i="56"/>
  <c r="M11" i="56"/>
  <c r="K11" i="56"/>
  <c r="J11" i="56"/>
  <c r="N11" i="56" s="1"/>
  <c r="P11" i="56" s="1"/>
  <c r="O10" i="56"/>
  <c r="M10" i="56"/>
  <c r="N10" i="56" s="1"/>
  <c r="P10" i="56" s="1"/>
  <c r="K10" i="56"/>
  <c r="J10" i="56"/>
  <c r="M6" i="56"/>
  <c r="K6" i="56"/>
  <c r="J6" i="56"/>
  <c r="N6" i="56" s="1"/>
  <c r="P6" i="56" s="1"/>
  <c r="M5" i="56"/>
  <c r="K5" i="56"/>
  <c r="J5" i="56"/>
  <c r="P38" i="56"/>
  <c r="P40" i="56" s="1"/>
  <c r="P42" i="56" s="1"/>
  <c r="D37" i="56"/>
  <c r="P41" i="55"/>
  <c r="D42" i="55"/>
  <c r="D39" i="55"/>
  <c r="D37" i="55"/>
  <c r="P28" i="55"/>
  <c r="P27" i="55"/>
  <c r="P16" i="55"/>
  <c r="P14" i="55"/>
  <c r="M35" i="55"/>
  <c r="K35" i="55"/>
  <c r="J35" i="55"/>
  <c r="O34" i="55"/>
  <c r="M34" i="55"/>
  <c r="K34" i="55"/>
  <c r="J34" i="55"/>
  <c r="M31" i="55"/>
  <c r="N31" i="55" s="1"/>
  <c r="P31" i="55" s="1"/>
  <c r="K31" i="55"/>
  <c r="J31" i="55"/>
  <c r="M30" i="55"/>
  <c r="N30" i="55" s="1"/>
  <c r="P30" i="55" s="1"/>
  <c r="K30" i="55"/>
  <c r="J30" i="55"/>
  <c r="M29" i="55"/>
  <c r="K29" i="55"/>
  <c r="J29" i="55"/>
  <c r="N29" i="55" s="1"/>
  <c r="P29" i="55" s="1"/>
  <c r="M28" i="55"/>
  <c r="K28" i="55"/>
  <c r="J28" i="55"/>
  <c r="O27" i="55"/>
  <c r="M27" i="55"/>
  <c r="K27" i="55"/>
  <c r="J27" i="55"/>
  <c r="M24" i="55"/>
  <c r="N24" i="55" s="1"/>
  <c r="P24" i="55" s="1"/>
  <c r="K24" i="55"/>
  <c r="J24" i="55"/>
  <c r="M23" i="55"/>
  <c r="N23" i="55" s="1"/>
  <c r="P23" i="55" s="1"/>
  <c r="K23" i="55"/>
  <c r="J23" i="55"/>
  <c r="M22" i="55"/>
  <c r="K22" i="55"/>
  <c r="J22" i="55"/>
  <c r="M21" i="55"/>
  <c r="K21" i="55"/>
  <c r="J21" i="55"/>
  <c r="O20" i="55"/>
  <c r="M20" i="55"/>
  <c r="K20" i="55"/>
  <c r="J20" i="55"/>
  <c r="M18" i="55"/>
  <c r="K18" i="55"/>
  <c r="J18" i="55"/>
  <c r="M17" i="55"/>
  <c r="K17" i="55"/>
  <c r="J17" i="55"/>
  <c r="M16" i="55"/>
  <c r="K16" i="55"/>
  <c r="J16" i="55"/>
  <c r="M15" i="55"/>
  <c r="K15" i="55"/>
  <c r="J15" i="55"/>
  <c r="N15" i="55" s="1"/>
  <c r="P15" i="55" s="1"/>
  <c r="M14" i="55"/>
  <c r="K14" i="55"/>
  <c r="J14" i="55"/>
  <c r="O13" i="55"/>
  <c r="M13" i="55"/>
  <c r="K13" i="55"/>
  <c r="J13" i="55"/>
  <c r="M10" i="55"/>
  <c r="K10" i="55"/>
  <c r="J10" i="55"/>
  <c r="M9" i="55"/>
  <c r="K9" i="55"/>
  <c r="J9" i="55"/>
  <c r="M8" i="55"/>
  <c r="N8" i="55" s="1"/>
  <c r="P8" i="55" s="1"/>
  <c r="K8" i="55"/>
  <c r="J8" i="55"/>
  <c r="M7" i="55"/>
  <c r="K7" i="55"/>
  <c r="J7" i="55"/>
  <c r="M6" i="55"/>
  <c r="K6" i="55"/>
  <c r="J6" i="55"/>
  <c r="P39" i="55"/>
  <c r="P43" i="55" s="1"/>
  <c r="D38" i="55"/>
  <c r="P38" i="54"/>
  <c r="D39" i="54"/>
  <c r="D36" i="54"/>
  <c r="D34" i="54"/>
  <c r="M32" i="54"/>
  <c r="K32" i="54"/>
  <c r="J32" i="54"/>
  <c r="P29" i="54"/>
  <c r="P22" i="54"/>
  <c r="P15" i="54"/>
  <c r="P9" i="54"/>
  <c r="P8" i="54"/>
  <c r="M31" i="54"/>
  <c r="K31" i="54"/>
  <c r="J31" i="54"/>
  <c r="M30" i="54"/>
  <c r="K30" i="54"/>
  <c r="J30" i="54"/>
  <c r="M29" i="54"/>
  <c r="K29" i="54"/>
  <c r="J29" i="54"/>
  <c r="M28" i="54"/>
  <c r="K28" i="54"/>
  <c r="J28" i="54"/>
  <c r="O27" i="54"/>
  <c r="M27" i="54"/>
  <c r="K27" i="54"/>
  <c r="J27" i="54"/>
  <c r="M24" i="54"/>
  <c r="K24" i="54"/>
  <c r="J24" i="54"/>
  <c r="M23" i="54"/>
  <c r="K23" i="54"/>
  <c r="J23" i="54"/>
  <c r="M22" i="54"/>
  <c r="K22" i="54"/>
  <c r="J22" i="54"/>
  <c r="M21" i="54"/>
  <c r="K21" i="54"/>
  <c r="J21" i="54"/>
  <c r="O20" i="54"/>
  <c r="M20" i="54"/>
  <c r="K20" i="54"/>
  <c r="J20" i="54"/>
  <c r="M17" i="54"/>
  <c r="K17" i="54"/>
  <c r="J17" i="54"/>
  <c r="M16" i="54"/>
  <c r="K16" i="54"/>
  <c r="J16" i="54"/>
  <c r="M15" i="54"/>
  <c r="K15" i="54"/>
  <c r="J15" i="54"/>
  <c r="M14" i="54"/>
  <c r="K14" i="54"/>
  <c r="J14" i="54"/>
  <c r="O13" i="54"/>
  <c r="M13" i="54"/>
  <c r="N13" i="54" s="1"/>
  <c r="K13" i="54"/>
  <c r="J13" i="54"/>
  <c r="M11" i="54"/>
  <c r="K11" i="54"/>
  <c r="J11" i="54"/>
  <c r="M10" i="54"/>
  <c r="K10" i="54"/>
  <c r="J10" i="54"/>
  <c r="M9" i="54"/>
  <c r="K9" i="54"/>
  <c r="J9" i="54"/>
  <c r="M8" i="54"/>
  <c r="K8" i="54"/>
  <c r="J8" i="54"/>
  <c r="M7" i="54"/>
  <c r="K7" i="54"/>
  <c r="J7" i="54"/>
  <c r="O6" i="54"/>
  <c r="M6" i="54"/>
  <c r="K6" i="54"/>
  <c r="J6" i="54"/>
  <c r="N34" i="56" l="1"/>
  <c r="P34" i="56" s="1"/>
  <c r="N28" i="56"/>
  <c r="P28" i="56" s="1"/>
  <c r="N27" i="56"/>
  <c r="P27" i="56" s="1"/>
  <c r="N24" i="56"/>
  <c r="P24" i="56" s="1"/>
  <c r="N20" i="56"/>
  <c r="P20" i="56" s="1"/>
  <c r="N18" i="56"/>
  <c r="P18" i="56" s="1"/>
  <c r="N17" i="56"/>
  <c r="P17" i="56" s="1"/>
  <c r="N14" i="56"/>
  <c r="P14" i="56" s="1"/>
  <c r="N12" i="56"/>
  <c r="P12" i="56" s="1"/>
  <c r="N5" i="56"/>
  <c r="P5" i="56" s="1"/>
  <c r="N35" i="55"/>
  <c r="P35" i="55" s="1"/>
  <c r="N34" i="55"/>
  <c r="P34" i="55" s="1"/>
  <c r="N28" i="55"/>
  <c r="N27" i="55"/>
  <c r="N22" i="55"/>
  <c r="P22" i="55" s="1"/>
  <c r="N21" i="55"/>
  <c r="P21" i="55" s="1"/>
  <c r="N20" i="55"/>
  <c r="P20" i="55" s="1"/>
  <c r="N18" i="55"/>
  <c r="P18" i="55" s="1"/>
  <c r="N17" i="55"/>
  <c r="P17" i="55" s="1"/>
  <c r="N16" i="55"/>
  <c r="N14" i="55"/>
  <c r="N13" i="55"/>
  <c r="P13" i="55" s="1"/>
  <c r="N10" i="55"/>
  <c r="P10" i="55" s="1"/>
  <c r="N9" i="55"/>
  <c r="P9" i="55" s="1"/>
  <c r="N7" i="55"/>
  <c r="P7" i="55" s="1"/>
  <c r="N6" i="55"/>
  <c r="P6" i="55" s="1"/>
  <c r="N32" i="54"/>
  <c r="P32" i="54" s="1"/>
  <c r="N29" i="54"/>
  <c r="N22" i="54"/>
  <c r="N15" i="54"/>
  <c r="N10" i="54"/>
  <c r="P10" i="54" s="1"/>
  <c r="N14" i="54"/>
  <c r="P14" i="54" s="1"/>
  <c r="N6" i="54"/>
  <c r="P6" i="54" s="1"/>
  <c r="N11" i="54"/>
  <c r="P11" i="54" s="1"/>
  <c r="N7" i="54"/>
  <c r="P7" i="54" s="1"/>
  <c r="N17" i="54"/>
  <c r="P17" i="54" s="1"/>
  <c r="N24" i="54"/>
  <c r="P24" i="54" s="1"/>
  <c r="N31" i="54"/>
  <c r="P31" i="54" s="1"/>
  <c r="P13" i="54"/>
  <c r="N20" i="54"/>
  <c r="P20" i="54" s="1"/>
  <c r="N27" i="54"/>
  <c r="P27" i="54" s="1"/>
  <c r="N8" i="54"/>
  <c r="N16" i="54"/>
  <c r="P16" i="54" s="1"/>
  <c r="N23" i="54"/>
  <c r="P23" i="54" s="1"/>
  <c r="N30" i="54"/>
  <c r="P30" i="54" s="1"/>
  <c r="N9" i="54"/>
  <c r="N21" i="54"/>
  <c r="P21" i="54" s="1"/>
  <c r="N28" i="54"/>
  <c r="P28" i="54" s="1"/>
  <c r="D41" i="56" l="1"/>
  <c r="P36" i="54"/>
  <c r="P40" i="54" s="1"/>
  <c r="D35" i="54"/>
  <c r="P41" i="53"/>
  <c r="D42" i="53"/>
  <c r="D39" i="53"/>
  <c r="D37" i="53"/>
  <c r="M35" i="53"/>
  <c r="K35" i="53"/>
  <c r="J35" i="53"/>
  <c r="P31" i="53"/>
  <c r="P30" i="53"/>
  <c r="P27" i="53"/>
  <c r="P25" i="53"/>
  <c r="P23" i="53"/>
  <c r="P19" i="53"/>
  <c r="P18" i="53"/>
  <c r="P13" i="53"/>
  <c r="P12" i="53"/>
  <c r="P6" i="53"/>
  <c r="M34" i="53"/>
  <c r="K34" i="53"/>
  <c r="J34" i="53"/>
  <c r="M33" i="53"/>
  <c r="K33" i="53"/>
  <c r="J33" i="53"/>
  <c r="M32" i="53"/>
  <c r="K32" i="53"/>
  <c r="J32" i="53"/>
  <c r="M31" i="53"/>
  <c r="K31" i="53"/>
  <c r="J31" i="53"/>
  <c r="O30" i="53"/>
  <c r="M30" i="53"/>
  <c r="K30" i="53"/>
  <c r="J30" i="53"/>
  <c r="M27" i="53"/>
  <c r="K27" i="53"/>
  <c r="J27" i="53"/>
  <c r="M26" i="53"/>
  <c r="K26" i="53"/>
  <c r="J26" i="53"/>
  <c r="M25" i="53"/>
  <c r="K25" i="53"/>
  <c r="J25" i="53"/>
  <c r="O23" i="53"/>
  <c r="M23" i="53"/>
  <c r="N23" i="53" s="1"/>
  <c r="K23" i="53"/>
  <c r="J23" i="53"/>
  <c r="M20" i="53"/>
  <c r="K20" i="53"/>
  <c r="J20" i="53"/>
  <c r="M19" i="53"/>
  <c r="K19" i="53"/>
  <c r="J19" i="53"/>
  <c r="M18" i="53"/>
  <c r="K18" i="53"/>
  <c r="J18" i="53"/>
  <c r="M17" i="53"/>
  <c r="K17" i="53"/>
  <c r="J17" i="53"/>
  <c r="N17" i="53" s="1"/>
  <c r="P17" i="53" s="1"/>
  <c r="O16" i="53"/>
  <c r="M16" i="53"/>
  <c r="K16" i="53"/>
  <c r="J16" i="53"/>
  <c r="M13" i="53"/>
  <c r="K13" i="53"/>
  <c r="J13" i="53"/>
  <c r="N13" i="53" s="1"/>
  <c r="M12" i="53"/>
  <c r="K12" i="53"/>
  <c r="J12" i="53"/>
  <c r="M11" i="53"/>
  <c r="K11" i="53"/>
  <c r="J11" i="53"/>
  <c r="M10" i="53"/>
  <c r="K10" i="53"/>
  <c r="J10" i="53"/>
  <c r="O9" i="53"/>
  <c r="M9" i="53"/>
  <c r="K9" i="53"/>
  <c r="J9" i="53"/>
  <c r="N9" i="53" s="1"/>
  <c r="P9" i="53" s="1"/>
  <c r="M6" i="53"/>
  <c r="K6" i="53"/>
  <c r="J6" i="53"/>
  <c r="P39" i="53"/>
  <c r="D38" i="53"/>
  <c r="P41" i="52"/>
  <c r="D42" i="52"/>
  <c r="D39" i="52"/>
  <c r="D37" i="52"/>
  <c r="P33" i="52"/>
  <c r="P30" i="52"/>
  <c r="P26" i="52"/>
  <c r="P16" i="52"/>
  <c r="P5" i="52"/>
  <c r="M35" i="52"/>
  <c r="K35" i="52"/>
  <c r="J35" i="52"/>
  <c r="M34" i="52"/>
  <c r="K34" i="52"/>
  <c r="J34" i="52"/>
  <c r="M33" i="52"/>
  <c r="K33" i="52"/>
  <c r="J33" i="52"/>
  <c r="M30" i="52"/>
  <c r="K30" i="52"/>
  <c r="J30" i="52"/>
  <c r="N30" i="52" s="1"/>
  <c r="M28" i="52"/>
  <c r="K28" i="52"/>
  <c r="J28" i="52"/>
  <c r="M27" i="52"/>
  <c r="K27" i="52"/>
  <c r="J27" i="52"/>
  <c r="O26" i="52"/>
  <c r="M26" i="52"/>
  <c r="N26" i="52" s="1"/>
  <c r="K26" i="52"/>
  <c r="J26" i="52"/>
  <c r="M23" i="52"/>
  <c r="K23" i="52"/>
  <c r="J23" i="52"/>
  <c r="N22" i="52"/>
  <c r="P22" i="52" s="1"/>
  <c r="M22" i="52"/>
  <c r="K22" i="52"/>
  <c r="J22" i="52"/>
  <c r="M21" i="52"/>
  <c r="K21" i="52"/>
  <c r="J21" i="52"/>
  <c r="M20" i="52"/>
  <c r="N20" i="52" s="1"/>
  <c r="P20" i="52" s="1"/>
  <c r="K20" i="52"/>
  <c r="J20" i="52"/>
  <c r="O19" i="52"/>
  <c r="M19" i="52"/>
  <c r="N19" i="52" s="1"/>
  <c r="P19" i="52" s="1"/>
  <c r="K19" i="52"/>
  <c r="J19" i="52"/>
  <c r="M16" i="52"/>
  <c r="N16" i="52" s="1"/>
  <c r="K16" i="52"/>
  <c r="J16" i="52"/>
  <c r="M15" i="52"/>
  <c r="N15" i="52" s="1"/>
  <c r="P15" i="52" s="1"/>
  <c r="K15" i="52"/>
  <c r="J15" i="52"/>
  <c r="M14" i="52"/>
  <c r="K14" i="52"/>
  <c r="J14" i="52"/>
  <c r="M13" i="52"/>
  <c r="N13" i="52" s="1"/>
  <c r="P13" i="52" s="1"/>
  <c r="K13" i="52"/>
  <c r="J13" i="52"/>
  <c r="O12" i="52"/>
  <c r="M12" i="52"/>
  <c r="N12" i="52" s="1"/>
  <c r="P12" i="52" s="1"/>
  <c r="K12" i="52"/>
  <c r="J12" i="52"/>
  <c r="M9" i="52"/>
  <c r="N9" i="52" s="1"/>
  <c r="P9" i="52" s="1"/>
  <c r="K9" i="52"/>
  <c r="J9" i="52"/>
  <c r="M8" i="52"/>
  <c r="N8" i="52" s="1"/>
  <c r="P8" i="52" s="1"/>
  <c r="K8" i="52"/>
  <c r="J8" i="52"/>
  <c r="M7" i="52"/>
  <c r="N7" i="52" s="1"/>
  <c r="P7" i="52" s="1"/>
  <c r="K7" i="52"/>
  <c r="J7" i="52"/>
  <c r="M6" i="52"/>
  <c r="K6" i="52"/>
  <c r="J6" i="52"/>
  <c r="O5" i="52"/>
  <c r="M5" i="52"/>
  <c r="N5" i="52" s="1"/>
  <c r="K5" i="52"/>
  <c r="J5" i="52"/>
  <c r="P43" i="53" l="1"/>
  <c r="N35" i="53"/>
  <c r="P35" i="53" s="1"/>
  <c r="N34" i="53"/>
  <c r="P34" i="53" s="1"/>
  <c r="N33" i="53"/>
  <c r="P33" i="53" s="1"/>
  <c r="N32" i="53"/>
  <c r="P32" i="53" s="1"/>
  <c r="N31" i="53"/>
  <c r="N30" i="53"/>
  <c r="N27" i="53"/>
  <c r="N26" i="53"/>
  <c r="P26" i="53" s="1"/>
  <c r="N25" i="53"/>
  <c r="N20" i="53"/>
  <c r="P20" i="53" s="1"/>
  <c r="N19" i="53"/>
  <c r="N18" i="53"/>
  <c r="N16" i="53"/>
  <c r="P16" i="53" s="1"/>
  <c r="N12" i="53"/>
  <c r="N11" i="53"/>
  <c r="P11" i="53" s="1"/>
  <c r="N10" i="53"/>
  <c r="P10" i="53" s="1"/>
  <c r="N6" i="53"/>
  <c r="N35" i="52"/>
  <c r="P35" i="52" s="1"/>
  <c r="N34" i="52"/>
  <c r="P34" i="52" s="1"/>
  <c r="N33" i="52"/>
  <c r="N28" i="52"/>
  <c r="P28" i="52" s="1"/>
  <c r="N27" i="52"/>
  <c r="P27" i="52" s="1"/>
  <c r="N23" i="52"/>
  <c r="P23" i="52" s="1"/>
  <c r="N21" i="52"/>
  <c r="P21" i="52" s="1"/>
  <c r="N14" i="52"/>
  <c r="P14" i="52" s="1"/>
  <c r="N6" i="52"/>
  <c r="P6" i="52" s="1"/>
  <c r="P39" i="52" l="1"/>
  <c r="P43" i="52" s="1"/>
  <c r="D38" i="52"/>
  <c r="D36" i="51"/>
  <c r="M19" i="51"/>
  <c r="N19" i="51" s="1"/>
  <c r="P19" i="51" s="1"/>
  <c r="K19" i="51"/>
  <c r="J19" i="51"/>
  <c r="D38" i="51"/>
  <c r="M33" i="51"/>
  <c r="K33" i="51"/>
  <c r="J33" i="51"/>
  <c r="P31" i="51"/>
  <c r="P30" i="51"/>
  <c r="P29" i="51"/>
  <c r="P17" i="51"/>
  <c r="P16" i="51"/>
  <c r="P15" i="51"/>
  <c r="P11" i="51"/>
  <c r="P10" i="51"/>
  <c r="P8" i="51"/>
  <c r="M32" i="51"/>
  <c r="K32" i="51"/>
  <c r="J32" i="51"/>
  <c r="M31" i="51"/>
  <c r="K31" i="51"/>
  <c r="J31" i="51"/>
  <c r="M30" i="51"/>
  <c r="K30" i="51"/>
  <c r="J30" i="51"/>
  <c r="N30" i="51" s="1"/>
  <c r="M29" i="51"/>
  <c r="N29" i="51" s="1"/>
  <c r="K29" i="51"/>
  <c r="J29" i="51"/>
  <c r="O28" i="51"/>
  <c r="M28" i="51"/>
  <c r="K28" i="51"/>
  <c r="J28" i="51"/>
  <c r="M25" i="51"/>
  <c r="K25" i="51"/>
  <c r="J25" i="51"/>
  <c r="M23" i="51"/>
  <c r="K23" i="51"/>
  <c r="J23" i="51"/>
  <c r="M22" i="51"/>
  <c r="K22" i="51"/>
  <c r="J22" i="51"/>
  <c r="O21" i="51"/>
  <c r="M21" i="51"/>
  <c r="K21" i="51"/>
  <c r="J21" i="51"/>
  <c r="N21" i="51" s="1"/>
  <c r="M18" i="51"/>
  <c r="K18" i="51"/>
  <c r="J18" i="51"/>
  <c r="M17" i="51"/>
  <c r="K17" i="51"/>
  <c r="J17" i="51"/>
  <c r="N16" i="51"/>
  <c r="M16" i="51"/>
  <c r="K16" i="51"/>
  <c r="J16" i="51"/>
  <c r="M15" i="51"/>
  <c r="K15" i="51"/>
  <c r="J15" i="51"/>
  <c r="O14" i="51"/>
  <c r="M14" i="51"/>
  <c r="N14" i="51" s="1"/>
  <c r="P14" i="51" s="1"/>
  <c r="K14" i="51"/>
  <c r="J14" i="51"/>
  <c r="M11" i="51"/>
  <c r="K11" i="51"/>
  <c r="J11" i="51"/>
  <c r="M10" i="51"/>
  <c r="K10" i="51"/>
  <c r="J10" i="51"/>
  <c r="N10" i="51" s="1"/>
  <c r="M9" i="51"/>
  <c r="K9" i="51"/>
  <c r="J9" i="51"/>
  <c r="M8" i="51"/>
  <c r="K8" i="51"/>
  <c r="J8" i="51"/>
  <c r="O7" i="51"/>
  <c r="M7" i="51"/>
  <c r="K7" i="51"/>
  <c r="J7" i="51"/>
  <c r="P38" i="51"/>
  <c r="P40" i="51" s="1"/>
  <c r="P42" i="51" s="1"/>
  <c r="D37" i="51"/>
  <c r="D37" i="50"/>
  <c r="P31" i="50"/>
  <c r="P26" i="50"/>
  <c r="P21" i="50"/>
  <c r="P14" i="50"/>
  <c r="P12" i="50"/>
  <c r="P6" i="50"/>
  <c r="M35" i="50"/>
  <c r="N35" i="50" s="1"/>
  <c r="P35" i="50" s="1"/>
  <c r="K35" i="50"/>
  <c r="J35" i="50"/>
  <c r="M34" i="50"/>
  <c r="K34" i="50"/>
  <c r="J34" i="50"/>
  <c r="M33" i="50"/>
  <c r="K33" i="50"/>
  <c r="J33" i="50"/>
  <c r="M32" i="50"/>
  <c r="N32" i="50" s="1"/>
  <c r="P32" i="50" s="1"/>
  <c r="K32" i="50"/>
  <c r="J32" i="50"/>
  <c r="O31" i="50"/>
  <c r="M31" i="50"/>
  <c r="K31" i="50"/>
  <c r="J31" i="50"/>
  <c r="M28" i="50"/>
  <c r="K28" i="50"/>
  <c r="J28" i="50"/>
  <c r="M27" i="50"/>
  <c r="K27" i="50"/>
  <c r="J27" i="50"/>
  <c r="M26" i="50"/>
  <c r="K26" i="50"/>
  <c r="J26" i="50"/>
  <c r="N26" i="50" s="1"/>
  <c r="M25" i="50"/>
  <c r="N25" i="50" s="1"/>
  <c r="P25" i="50" s="1"/>
  <c r="K25" i="50"/>
  <c r="J25" i="50"/>
  <c r="O24" i="50"/>
  <c r="M24" i="50"/>
  <c r="K24" i="50"/>
  <c r="J24" i="50"/>
  <c r="M21" i="50"/>
  <c r="K21" i="50"/>
  <c r="J21" i="50"/>
  <c r="N21" i="50" s="1"/>
  <c r="M20" i="50"/>
  <c r="K20" i="50"/>
  <c r="J20" i="50"/>
  <c r="M19" i="50"/>
  <c r="K19" i="50"/>
  <c r="J19" i="50"/>
  <c r="N19" i="50" s="1"/>
  <c r="P19" i="50" s="1"/>
  <c r="M18" i="50"/>
  <c r="N18" i="50" s="1"/>
  <c r="P18" i="50" s="1"/>
  <c r="K18" i="50"/>
  <c r="J18" i="50"/>
  <c r="O17" i="50"/>
  <c r="M17" i="50"/>
  <c r="K17" i="50"/>
  <c r="J17" i="50"/>
  <c r="M14" i="50"/>
  <c r="N14" i="50" s="1"/>
  <c r="K14" i="50"/>
  <c r="J14" i="50"/>
  <c r="M13" i="50"/>
  <c r="K13" i="50"/>
  <c r="J13" i="50"/>
  <c r="M12" i="50"/>
  <c r="K12" i="50"/>
  <c r="J12" i="50"/>
  <c r="N12" i="50" s="1"/>
  <c r="M11" i="50"/>
  <c r="N11" i="50" s="1"/>
  <c r="P11" i="50" s="1"/>
  <c r="K11" i="50"/>
  <c r="J11" i="50"/>
  <c r="O10" i="50"/>
  <c r="M10" i="50"/>
  <c r="K10" i="50"/>
  <c r="J10" i="50"/>
  <c r="M7" i="50"/>
  <c r="K7" i="50"/>
  <c r="J7" i="50"/>
  <c r="M6" i="50"/>
  <c r="N6" i="50" s="1"/>
  <c r="K6" i="50"/>
  <c r="J6" i="50"/>
  <c r="O5" i="50"/>
  <c r="M5" i="50"/>
  <c r="K5" i="50"/>
  <c r="J5" i="50"/>
  <c r="P39" i="50"/>
  <c r="P41" i="50" s="1"/>
  <c r="P43" i="50" s="1"/>
  <c r="D38" i="50"/>
  <c r="P40" i="49"/>
  <c r="D38" i="49"/>
  <c r="K29" i="48"/>
  <c r="K22" i="48"/>
  <c r="K15" i="48"/>
  <c r="K8" i="48"/>
  <c r="K5" i="48"/>
  <c r="D36" i="49"/>
  <c r="P26" i="49"/>
  <c r="P9" i="49"/>
  <c r="P8" i="49"/>
  <c r="P5" i="49"/>
  <c r="M34" i="49"/>
  <c r="K34" i="49"/>
  <c r="J34" i="49"/>
  <c r="M33" i="49"/>
  <c r="N33" i="49" s="1"/>
  <c r="P33" i="49" s="1"/>
  <c r="K33" i="49"/>
  <c r="J33" i="49"/>
  <c r="M30" i="49"/>
  <c r="K30" i="49"/>
  <c r="J30" i="49"/>
  <c r="M29" i="49"/>
  <c r="K29" i="49"/>
  <c r="J29" i="49"/>
  <c r="N29" i="49" s="1"/>
  <c r="P29" i="49" s="1"/>
  <c r="M28" i="49"/>
  <c r="N28" i="49" s="1"/>
  <c r="P28" i="49" s="1"/>
  <c r="K28" i="49"/>
  <c r="J28" i="49"/>
  <c r="M27" i="49"/>
  <c r="K27" i="49"/>
  <c r="J27" i="49"/>
  <c r="O26" i="49"/>
  <c r="M26" i="49"/>
  <c r="K26" i="49"/>
  <c r="J26" i="49"/>
  <c r="M23" i="49"/>
  <c r="K23" i="49"/>
  <c r="J23" i="49"/>
  <c r="M22" i="49"/>
  <c r="K22" i="49"/>
  <c r="J22" i="49"/>
  <c r="N22" i="49" s="1"/>
  <c r="P22" i="49" s="1"/>
  <c r="N21" i="49"/>
  <c r="P21" i="49" s="1"/>
  <c r="M21" i="49"/>
  <c r="K21" i="49"/>
  <c r="J21" i="49"/>
  <c r="M20" i="49"/>
  <c r="K20" i="49"/>
  <c r="J20" i="49"/>
  <c r="O19" i="49"/>
  <c r="M19" i="49"/>
  <c r="K19" i="49"/>
  <c r="J19" i="49"/>
  <c r="M16" i="49"/>
  <c r="K16" i="49"/>
  <c r="J16" i="49"/>
  <c r="N16" i="49" s="1"/>
  <c r="P16" i="49" s="1"/>
  <c r="M15" i="49"/>
  <c r="N15" i="49" s="1"/>
  <c r="P15" i="49" s="1"/>
  <c r="K15" i="49"/>
  <c r="J15" i="49"/>
  <c r="M14" i="49"/>
  <c r="K14" i="49"/>
  <c r="J14" i="49"/>
  <c r="M13" i="49"/>
  <c r="K13" i="49"/>
  <c r="J13" i="49"/>
  <c r="M12" i="49"/>
  <c r="K12" i="49"/>
  <c r="J12" i="49"/>
  <c r="M9" i="49"/>
  <c r="K9" i="49"/>
  <c r="J9" i="49"/>
  <c r="M8" i="49"/>
  <c r="K8" i="49"/>
  <c r="J8" i="49"/>
  <c r="M7" i="49"/>
  <c r="K7" i="49"/>
  <c r="J7" i="49"/>
  <c r="N7" i="49" s="1"/>
  <c r="P7" i="49" s="1"/>
  <c r="M6" i="49"/>
  <c r="K6" i="49"/>
  <c r="J6" i="49"/>
  <c r="N6" i="49" s="1"/>
  <c r="P6" i="49" s="1"/>
  <c r="O5" i="49"/>
  <c r="M5" i="49"/>
  <c r="N5" i="49" s="1"/>
  <c r="K5" i="49"/>
  <c r="J5" i="49"/>
  <c r="P38" i="49"/>
  <c r="D37" i="49"/>
  <c r="P41" i="48"/>
  <c r="D42" i="48"/>
  <c r="D37" i="48"/>
  <c r="P32" i="48"/>
  <c r="P31" i="48"/>
  <c r="P30" i="48"/>
  <c r="P29" i="48"/>
  <c r="P25" i="48"/>
  <c r="P24" i="48"/>
  <c r="P23" i="48"/>
  <c r="P17" i="48"/>
  <c r="P16" i="48"/>
  <c r="P15" i="48"/>
  <c r="P12" i="48"/>
  <c r="P9" i="48"/>
  <c r="P5" i="48"/>
  <c r="N33" i="51" l="1"/>
  <c r="P33" i="51" s="1"/>
  <c r="N32" i="51"/>
  <c r="P32" i="51" s="1"/>
  <c r="N31" i="51"/>
  <c r="N28" i="51"/>
  <c r="P28" i="51" s="1"/>
  <c r="N25" i="51"/>
  <c r="P25" i="51" s="1"/>
  <c r="N23" i="51"/>
  <c r="P23" i="51" s="1"/>
  <c r="N22" i="51"/>
  <c r="P22" i="51" s="1"/>
  <c r="N18" i="51"/>
  <c r="P18" i="51" s="1"/>
  <c r="N17" i="51"/>
  <c r="N15" i="51"/>
  <c r="N11" i="51"/>
  <c r="N9" i="51"/>
  <c r="P9" i="51" s="1"/>
  <c r="N8" i="51"/>
  <c r="N7" i="51"/>
  <c r="P7" i="51" s="1"/>
  <c r="P21" i="51"/>
  <c r="D41" i="51"/>
  <c r="N34" i="50"/>
  <c r="P34" i="50" s="1"/>
  <c r="N33" i="50"/>
  <c r="P33" i="50" s="1"/>
  <c r="N31" i="50"/>
  <c r="N28" i="50"/>
  <c r="P28" i="50" s="1"/>
  <c r="N27" i="50"/>
  <c r="P27" i="50" s="1"/>
  <c r="N24" i="50"/>
  <c r="P24" i="50" s="1"/>
  <c r="N20" i="50"/>
  <c r="P20" i="50" s="1"/>
  <c r="N17" i="50"/>
  <c r="P17" i="50" s="1"/>
  <c r="N13" i="50"/>
  <c r="P13" i="50" s="1"/>
  <c r="N10" i="50"/>
  <c r="P10" i="50" s="1"/>
  <c r="N7" i="50"/>
  <c r="P7" i="50" s="1"/>
  <c r="N5" i="50"/>
  <c r="P5" i="50" s="1"/>
  <c r="D39" i="50"/>
  <c r="P42" i="49"/>
  <c r="N34" i="49"/>
  <c r="P34" i="49" s="1"/>
  <c r="N30" i="49"/>
  <c r="P30" i="49" s="1"/>
  <c r="N27" i="49"/>
  <c r="P27" i="49" s="1"/>
  <c r="N26" i="49"/>
  <c r="N23" i="49"/>
  <c r="P23" i="49" s="1"/>
  <c r="D41" i="49" s="1"/>
  <c r="N20" i="49"/>
  <c r="P20" i="49" s="1"/>
  <c r="N19" i="49"/>
  <c r="P19" i="49" s="1"/>
  <c r="N14" i="49"/>
  <c r="P14" i="49" s="1"/>
  <c r="N13" i="49"/>
  <c r="P13" i="49" s="1"/>
  <c r="N12" i="49"/>
  <c r="P12" i="49" s="1"/>
  <c r="N9" i="49"/>
  <c r="N8" i="49"/>
  <c r="M33" i="48"/>
  <c r="K33" i="48"/>
  <c r="J33" i="48"/>
  <c r="M32" i="48"/>
  <c r="K32" i="48"/>
  <c r="J32" i="48"/>
  <c r="M31" i="48"/>
  <c r="K31" i="48"/>
  <c r="J31" i="48"/>
  <c r="M30" i="48"/>
  <c r="K30" i="48"/>
  <c r="J30" i="48"/>
  <c r="O29" i="48"/>
  <c r="M29" i="48"/>
  <c r="J29" i="48"/>
  <c r="M26" i="48"/>
  <c r="K26" i="48"/>
  <c r="J26" i="48"/>
  <c r="M25" i="48"/>
  <c r="K25" i="48"/>
  <c r="J25" i="48"/>
  <c r="M24" i="48"/>
  <c r="K24" i="48"/>
  <c r="J24" i="48"/>
  <c r="M23" i="48"/>
  <c r="K23" i="48"/>
  <c r="J23" i="48"/>
  <c r="O22" i="48"/>
  <c r="M22" i="48"/>
  <c r="J22" i="48"/>
  <c r="M19" i="48"/>
  <c r="K19" i="48"/>
  <c r="J19" i="48"/>
  <c r="M18" i="48"/>
  <c r="K18" i="48"/>
  <c r="J18" i="48"/>
  <c r="M17" i="48"/>
  <c r="K17" i="48"/>
  <c r="J17" i="48"/>
  <c r="M16" i="48"/>
  <c r="K16" i="48"/>
  <c r="J16" i="48"/>
  <c r="O15" i="48"/>
  <c r="M15" i="48"/>
  <c r="J15" i="48"/>
  <c r="M12" i="48"/>
  <c r="K12" i="48"/>
  <c r="J12" i="48"/>
  <c r="M11" i="48"/>
  <c r="K11" i="48"/>
  <c r="J11" i="48"/>
  <c r="M10" i="48"/>
  <c r="K10" i="48"/>
  <c r="J10" i="48"/>
  <c r="M9" i="48"/>
  <c r="K9" i="48"/>
  <c r="J9" i="48"/>
  <c r="O8" i="48"/>
  <c r="M8" i="48"/>
  <c r="J8" i="48"/>
  <c r="P39" i="48"/>
  <c r="D38" i="48"/>
  <c r="O5" i="48"/>
  <c r="M5" i="48"/>
  <c r="J5" i="48"/>
  <c r="D42" i="50" l="1"/>
  <c r="P43" i="48"/>
  <c r="N33" i="48"/>
  <c r="P33" i="48" s="1"/>
  <c r="N30" i="48"/>
  <c r="N29" i="48"/>
  <c r="N23" i="48"/>
  <c r="N18" i="48"/>
  <c r="P18" i="48" s="1"/>
  <c r="N16" i="48"/>
  <c r="N12" i="48"/>
  <c r="N10" i="48"/>
  <c r="P10" i="48" s="1"/>
  <c r="N32" i="48"/>
  <c r="N31" i="48"/>
  <c r="N26" i="48"/>
  <c r="P26" i="48" s="1"/>
  <c r="N25" i="48"/>
  <c r="N24" i="48"/>
  <c r="N22" i="48"/>
  <c r="P22" i="48" s="1"/>
  <c r="N19" i="48"/>
  <c r="P19" i="48" s="1"/>
  <c r="N17" i="48"/>
  <c r="N15" i="48"/>
  <c r="N11" i="48"/>
  <c r="P11" i="48" s="1"/>
  <c r="N9" i="48"/>
  <c r="N8" i="48"/>
  <c r="P8" i="48" s="1"/>
  <c r="N5" i="48"/>
  <c r="O24" i="4" l="1"/>
  <c r="M24" i="4"/>
  <c r="K24" i="4"/>
  <c r="J24" i="4"/>
  <c r="O23" i="4"/>
  <c r="M23" i="4"/>
  <c r="K23" i="4"/>
  <c r="J23" i="4"/>
  <c r="O22" i="4"/>
  <c r="M22" i="4"/>
  <c r="K22" i="4"/>
  <c r="J22" i="4"/>
  <c r="N22" i="4" s="1"/>
  <c r="P22" i="4" s="1"/>
  <c r="O21" i="4"/>
  <c r="M21" i="4"/>
  <c r="K21" i="4"/>
  <c r="J21" i="4"/>
  <c r="O20" i="4"/>
  <c r="M20" i="4"/>
  <c r="K20" i="4"/>
  <c r="J20" i="4"/>
  <c r="O19" i="4"/>
  <c r="M19" i="4"/>
  <c r="K19" i="4"/>
  <c r="J19" i="4"/>
  <c r="O18" i="4"/>
  <c r="M18" i="4"/>
  <c r="K18" i="4"/>
  <c r="J18" i="4"/>
  <c r="N18" i="4" s="1"/>
  <c r="O17" i="4"/>
  <c r="M17" i="4"/>
  <c r="K17" i="4"/>
  <c r="J17" i="4"/>
  <c r="O16" i="4"/>
  <c r="M16" i="4"/>
  <c r="K16" i="4"/>
  <c r="J16" i="4"/>
  <c r="O15" i="4"/>
  <c r="M15" i="4"/>
  <c r="K15" i="4"/>
  <c r="J15" i="4"/>
  <c r="O14" i="4"/>
  <c r="M14" i="4"/>
  <c r="K14" i="4"/>
  <c r="J14" i="4"/>
  <c r="N14" i="4" s="1"/>
  <c r="P14" i="4" s="1"/>
  <c r="O13" i="4"/>
  <c r="M13" i="4"/>
  <c r="K13" i="4"/>
  <c r="J13" i="4"/>
  <c r="O12" i="4"/>
  <c r="M12" i="4"/>
  <c r="K12" i="4"/>
  <c r="J12" i="4"/>
  <c r="O11" i="4"/>
  <c r="M11" i="4"/>
  <c r="K11" i="4"/>
  <c r="J11" i="4"/>
  <c r="O10" i="4"/>
  <c r="M10" i="4"/>
  <c r="K10" i="4"/>
  <c r="J10" i="4"/>
  <c r="O9" i="4"/>
  <c r="M9" i="4"/>
  <c r="K9" i="4"/>
  <c r="J9" i="4"/>
  <c r="O8" i="4"/>
  <c r="M8" i="4"/>
  <c r="K8" i="4"/>
  <c r="J8" i="4"/>
  <c r="O7" i="4"/>
  <c r="M7" i="4"/>
  <c r="K7" i="4"/>
  <c r="J7" i="4"/>
  <c r="O6" i="4"/>
  <c r="M6" i="4"/>
  <c r="K6" i="4"/>
  <c r="J6" i="4"/>
  <c r="O5" i="4"/>
  <c r="M5" i="4"/>
  <c r="K5" i="4"/>
  <c r="J5" i="4"/>
  <c r="N10" i="4" l="1"/>
  <c r="P10" i="4" s="1"/>
  <c r="N16" i="4"/>
  <c r="P16" i="4" s="1"/>
  <c r="N24" i="4"/>
  <c r="P24" i="4" s="1"/>
  <c r="N5" i="4"/>
  <c r="P5" i="4" s="1"/>
  <c r="N7" i="4"/>
  <c r="P7" i="4" s="1"/>
  <c r="N9" i="4"/>
  <c r="P9" i="4" s="1"/>
  <c r="N11" i="4"/>
  <c r="P11" i="4" s="1"/>
  <c r="N13" i="4"/>
  <c r="P13" i="4" s="1"/>
  <c r="N15" i="4"/>
  <c r="P15" i="4" s="1"/>
  <c r="N17" i="4"/>
  <c r="P17" i="4" s="1"/>
  <c r="N19" i="4"/>
  <c r="P19" i="4" s="1"/>
  <c r="N21" i="4"/>
  <c r="N23" i="4"/>
  <c r="P23" i="4" s="1"/>
  <c r="N6" i="4"/>
  <c r="P6" i="4" s="1"/>
  <c r="N20" i="4"/>
  <c r="P20" i="4" s="1"/>
  <c r="N8" i="4"/>
  <c r="N12" i="4"/>
  <c r="P12" i="4" s="1"/>
  <c r="P21" i="4"/>
  <c r="D29" i="4" s="1"/>
  <c r="P8" i="4"/>
  <c r="P18" i="4"/>
  <c r="D28" i="4" l="1"/>
  <c r="D30" i="4"/>
  <c r="D32" i="4"/>
</calcChain>
</file>

<file path=xl/sharedStrings.xml><?xml version="1.0" encoding="utf-8"?>
<sst xmlns="http://schemas.openxmlformats.org/spreadsheetml/2006/main" count="831" uniqueCount="110">
  <si>
    <t xml:space="preserve">Registro de Ponto </t>
  </si>
  <si>
    <t>Período: 01/11/2021 a 30/11/2021</t>
  </si>
  <si>
    <t>ID</t>
  </si>
  <si>
    <t xml:space="preserve"> Nome</t>
  </si>
  <si>
    <t>Departamentos e divisões</t>
  </si>
  <si>
    <t xml:space="preserve">Data </t>
  </si>
  <si>
    <t>Manhã</t>
  </si>
  <si>
    <t>Tarde</t>
  </si>
  <si>
    <t xml:space="preserve">1ª Etapa </t>
  </si>
  <si>
    <t>Resumo 1ª Etapa</t>
  </si>
  <si>
    <t>Refeição</t>
  </si>
  <si>
    <t xml:space="preserve">2ª Etapa </t>
  </si>
  <si>
    <t>Resumo 2ª Etapa</t>
  </si>
  <si>
    <t xml:space="preserve">Saldo do Dia </t>
  </si>
  <si>
    <t>Carga Horária</t>
  </si>
  <si>
    <t>STATUS</t>
  </si>
  <si>
    <t>Diego</t>
  </si>
  <si>
    <t>Produção</t>
  </si>
  <si>
    <t>07:59</t>
  </si>
  <si>
    <t>12:48</t>
  </si>
  <si>
    <t>18:16</t>
  </si>
  <si>
    <t>11:47</t>
  </si>
  <si>
    <t>19:34</t>
  </si>
  <si>
    <t>07:58</t>
  </si>
  <si>
    <t>12:54</t>
  </si>
  <si>
    <t>18:07</t>
  </si>
  <si>
    <t>14:08</t>
  </si>
  <si>
    <t>18:01</t>
  </si>
  <si>
    <t>07:57</t>
  </si>
  <si>
    <t>13:10</t>
  </si>
  <si>
    <t>08:00</t>
  </si>
  <si>
    <t>13:11</t>
  </si>
  <si>
    <t>13:29</t>
  </si>
  <si>
    <t>18:15</t>
  </si>
  <si>
    <t>20:17</t>
  </si>
  <si>
    <t>08:01</t>
  </si>
  <si>
    <t>12:53</t>
  </si>
  <si>
    <t>18:14</t>
  </si>
  <si>
    <t>07:54</t>
  </si>
  <si>
    <t>12:41</t>
  </si>
  <si>
    <t>13:59</t>
  </si>
  <si>
    <t>18:09</t>
  </si>
  <si>
    <t>12:56</t>
  </si>
  <si>
    <t>18:02</t>
  </si>
  <si>
    <t>12:57</t>
  </si>
  <si>
    <t>18:04</t>
  </si>
  <si>
    <t>08:02</t>
  </si>
  <si>
    <t>19:49</t>
  </si>
  <si>
    <t>08:03</t>
  </si>
  <si>
    <t>14:09</t>
  </si>
  <si>
    <t>08:09</t>
  </si>
  <si>
    <t>13:34</t>
  </si>
  <si>
    <t>13:28</t>
  </si>
  <si>
    <t>FALTA</t>
  </si>
  <si>
    <t>07:55</t>
  </si>
  <si>
    <t>12:59</t>
  </si>
  <si>
    <t>07:52</t>
  </si>
  <si>
    <t>12:42</t>
  </si>
  <si>
    <t>14:14</t>
  </si>
  <si>
    <t>17:02</t>
  </si>
  <si>
    <t>Horas Extras</t>
  </si>
  <si>
    <t>LEGENDA</t>
  </si>
  <si>
    <t>Faltas Injustificadas</t>
  </si>
  <si>
    <t>Não Registrado</t>
  </si>
  <si>
    <t>RESUMO</t>
  </si>
  <si>
    <t>Horas Negativas</t>
  </si>
  <si>
    <t>Saldo</t>
  </si>
  <si>
    <t>DOMINGO</t>
  </si>
  <si>
    <t>RESUMO HORAS</t>
  </si>
  <si>
    <t>TOTAL DE HORAS</t>
  </si>
  <si>
    <t>Saldo Anterior</t>
  </si>
  <si>
    <t>Folga Abonada</t>
  </si>
  <si>
    <t>Sub. Total</t>
  </si>
  <si>
    <t>T. Horas Abonadas</t>
  </si>
  <si>
    <t>Total Final</t>
  </si>
  <si>
    <t>SÁBADO</t>
  </si>
  <si>
    <t>AGOSTO</t>
  </si>
  <si>
    <t>T. Horas Anterior</t>
  </si>
  <si>
    <t>Horas Abonada</t>
  </si>
  <si>
    <t>Atraso Injustificadas</t>
  </si>
  <si>
    <t>DE ACORDO:</t>
  </si>
  <si>
    <t>Horas Abonadas</t>
  </si>
  <si>
    <r>
      <t>T. Horas</t>
    </r>
    <r>
      <rPr>
        <b/>
        <sz val="10"/>
        <color theme="1"/>
        <rFont val="Arial"/>
        <family val="2"/>
      </rPr>
      <t xml:space="preserve"> AGOSTO</t>
    </r>
  </si>
  <si>
    <t>Período: 01/08/2025 a 31/08/2025</t>
  </si>
  <si>
    <t>Paulo Henr.</t>
  </si>
  <si>
    <t>Período: 01/09/2025 a 30/09/2025</t>
  </si>
  <si>
    <t>SETEMBRO</t>
  </si>
  <si>
    <r>
      <t>T. Horas</t>
    </r>
    <r>
      <rPr>
        <b/>
        <sz val="10"/>
        <color theme="1"/>
        <rFont val="Arial"/>
        <family val="2"/>
      </rPr>
      <t xml:space="preserve"> SETEMBRO</t>
    </r>
  </si>
  <si>
    <t>Período: 01/10/2025 a 31/10/2025</t>
  </si>
  <si>
    <t>OUTUBRO</t>
  </si>
  <si>
    <r>
      <t>T. Horas</t>
    </r>
    <r>
      <rPr>
        <b/>
        <sz val="10"/>
        <color theme="1"/>
        <rFont val="Arial"/>
        <family val="2"/>
      </rPr>
      <t xml:space="preserve"> OUTUBRO</t>
    </r>
  </si>
  <si>
    <t>FERIADO</t>
  </si>
  <si>
    <t>NOVEMBRO</t>
  </si>
  <si>
    <r>
      <t>T. Horas</t>
    </r>
    <r>
      <rPr>
        <b/>
        <sz val="10"/>
        <color theme="1"/>
        <rFont val="Arial"/>
        <family val="2"/>
      </rPr>
      <t xml:space="preserve"> NOVEMBRO</t>
    </r>
  </si>
  <si>
    <t>FOLGA</t>
  </si>
  <si>
    <t>DEZEMBRO</t>
  </si>
  <si>
    <r>
      <t>T. Horas</t>
    </r>
    <r>
      <rPr>
        <b/>
        <sz val="10"/>
        <color theme="1"/>
        <rFont val="Arial"/>
        <family val="2"/>
      </rPr>
      <t xml:space="preserve"> DEZEMBRO</t>
    </r>
  </si>
  <si>
    <t>Período: 01/01/2026 a 31/01/2026</t>
  </si>
  <si>
    <t>JANEIRO</t>
  </si>
  <si>
    <r>
      <t>T. Horas</t>
    </r>
    <r>
      <rPr>
        <b/>
        <sz val="10"/>
        <color theme="1"/>
        <rFont val="Arial"/>
        <family val="2"/>
      </rPr>
      <t xml:space="preserve"> JANEIRO</t>
    </r>
  </si>
  <si>
    <t>Período: 01/02/2026 a 28/02/2026</t>
  </si>
  <si>
    <t>FEVEREIRO</t>
  </si>
  <si>
    <r>
      <t>T. Horas</t>
    </r>
    <r>
      <rPr>
        <b/>
        <sz val="10"/>
        <color theme="1"/>
        <rFont val="Arial"/>
        <family val="2"/>
      </rPr>
      <t xml:space="preserve"> FEVEREIRO</t>
    </r>
  </si>
  <si>
    <t>Período: 01/03/2026 a 31/03/2026</t>
  </si>
  <si>
    <t>MARÇO</t>
  </si>
  <si>
    <r>
      <t>T. Horas</t>
    </r>
    <r>
      <rPr>
        <b/>
        <sz val="10"/>
        <color theme="1"/>
        <rFont val="Arial"/>
        <family val="2"/>
      </rPr>
      <t xml:space="preserve"> MARÇO</t>
    </r>
  </si>
  <si>
    <t>Período: 01/04/2026 a 30/04/2026</t>
  </si>
  <si>
    <t>ABRIL</t>
  </si>
  <si>
    <r>
      <t>T. Horas</t>
    </r>
    <r>
      <rPr>
        <b/>
        <sz val="10"/>
        <color theme="1"/>
        <rFont val="Arial"/>
        <family val="2"/>
      </rPr>
      <t xml:space="preserve"> ABRIL</t>
    </r>
  </si>
  <si>
    <t>01/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</si>
</sst>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"/>
    <numFmt numFmtId="165" formatCode="hh:mm:ss;@"/>
    <numFmt numFmtId="166" formatCode="[h]:mm:ss;@"/>
  </numFmts>
  <fonts count="21">
    <font>
      <sz val="10"/>
      <color theme="1"/>
      <name val="Calibri"/>
      <charset val="134"/>
      <scheme val="minor"/>
    </font>
    <font>
      <b/>
      <sz val="24"/>
      <name val="逋阊锱"/>
      <charset val="134"/>
    </font>
    <font>
      <b/>
      <sz val="9"/>
      <name val="Arial"/>
      <family val="2"/>
    </font>
    <font>
      <b/>
      <sz val="10"/>
      <color rgb="FF339966"/>
      <name val="宋体"/>
      <charset val="134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9" tint="-0.499984740745262"/>
      <name val="Arial"/>
      <family val="2"/>
    </font>
    <font>
      <b/>
      <sz val="10"/>
      <color rgb="FFC00000"/>
      <name val="Arial"/>
      <family val="2"/>
    </font>
    <font>
      <u/>
      <sz val="11"/>
      <color rgb="FF0000FF"/>
      <name val="Calibri"/>
      <family val="2"/>
      <scheme val="minor"/>
    </font>
    <font>
      <sz val="11"/>
      <color rgb="FF000000"/>
      <name val="MS Gothic"/>
      <family val="3"/>
    </font>
    <font>
      <sz val="11"/>
      <color rgb="FFFFFFFF"/>
      <name val="MS Gothic"/>
      <family val="3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medium">
        <color rgb="FF339966"/>
      </right>
      <top style="thin">
        <color auto="1"/>
      </top>
      <bottom style="thin">
        <color auto="1"/>
      </bottom>
      <diagonal/>
    </border>
    <border>
      <left style="medium">
        <color rgb="FF339966"/>
      </left>
      <right style="medium">
        <color rgb="FF339966"/>
      </right>
      <top style="thin">
        <color auto="1"/>
      </top>
      <bottom style="thin">
        <color auto="1"/>
      </bottom>
      <diagonal/>
    </border>
    <border>
      <left style="medium">
        <color rgb="FF339966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339966"/>
      </left>
      <right/>
      <top style="medium">
        <color rgb="FF339966"/>
      </top>
      <bottom style="medium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39966"/>
      </left>
      <right/>
      <top style="medium">
        <color rgb="FF33996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top" wrapText="1"/>
    </xf>
    <xf numFmtId="0" fontId="7" fillId="0" borderId="0" xfId="0" applyFont="1">
      <alignment vertical="center"/>
    </xf>
    <xf numFmtId="0" fontId="5" fillId="4" borderId="7" xfId="0" applyFont="1" applyFill="1" applyBorder="1">
      <alignment vertical="center"/>
    </xf>
    <xf numFmtId="165" fontId="5" fillId="4" borderId="7" xfId="0" applyNumberFormat="1" applyFont="1" applyFill="1" applyBorder="1">
      <alignment vertical="center"/>
    </xf>
    <xf numFmtId="0" fontId="5" fillId="5" borderId="7" xfId="0" applyFont="1" applyFill="1" applyBorder="1">
      <alignment vertical="center"/>
    </xf>
    <xf numFmtId="165" fontId="5" fillId="5" borderId="7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9" fillId="6" borderId="7" xfId="0" applyFont="1" applyFill="1" applyBorder="1">
      <alignment vertical="center"/>
    </xf>
    <xf numFmtId="0" fontId="8" fillId="7" borderId="7" xfId="0" applyFont="1" applyFill="1" applyBorder="1">
      <alignment vertical="center"/>
    </xf>
    <xf numFmtId="0" fontId="8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4" fillId="8" borderId="7" xfId="0" applyNumberFormat="1" applyFont="1" applyFill="1" applyBorder="1">
      <alignment vertical="center"/>
    </xf>
    <xf numFmtId="165" fontId="8" fillId="0" borderId="0" xfId="0" applyNumberFormat="1" applyFont="1">
      <alignment vertical="center"/>
    </xf>
    <xf numFmtId="0" fontId="8" fillId="9" borderId="7" xfId="0" applyFont="1" applyFill="1" applyBorder="1">
      <alignment vertical="center"/>
    </xf>
    <xf numFmtId="0" fontId="8" fillId="2" borderId="7" xfId="0" applyFont="1" applyFill="1" applyBorder="1">
      <alignment vertical="center"/>
    </xf>
    <xf numFmtId="165" fontId="8" fillId="2" borderId="7" xfId="0" applyNumberFormat="1" applyFont="1" applyFill="1" applyBorder="1">
      <alignment vertical="center"/>
    </xf>
    <xf numFmtId="0" fontId="8" fillId="6" borderId="7" xfId="0" applyFont="1" applyFill="1" applyBorder="1">
      <alignment vertical="center"/>
    </xf>
    <xf numFmtId="0" fontId="6" fillId="0" borderId="7" xfId="0" applyFont="1" applyBorder="1">
      <alignment vertical="center"/>
    </xf>
    <xf numFmtId="165" fontId="4" fillId="4" borderId="7" xfId="0" applyNumberFormat="1" applyFont="1" applyFill="1" applyBorder="1">
      <alignment vertical="center"/>
    </xf>
    <xf numFmtId="0" fontId="8" fillId="5" borderId="7" xfId="0" applyFont="1" applyFill="1" applyBorder="1">
      <alignment vertical="center"/>
    </xf>
    <xf numFmtId="0" fontId="0" fillId="8" borderId="7" xfId="0" applyFill="1" applyBorder="1">
      <alignment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7" xfId="0" applyNumberFormat="1" applyFont="1" applyBorder="1">
      <alignment vertical="center"/>
    </xf>
    <xf numFmtId="165" fontId="8" fillId="6" borderId="7" xfId="0" applyNumberFormat="1" applyFont="1" applyFill="1" applyBorder="1">
      <alignment vertical="center"/>
    </xf>
    <xf numFmtId="165" fontId="8" fillId="4" borderId="7" xfId="0" applyNumberFormat="1" applyFont="1" applyFill="1" applyBorder="1">
      <alignment vertical="center"/>
    </xf>
    <xf numFmtId="166" fontId="5" fillId="2" borderId="7" xfId="0" applyNumberFormat="1" applyFont="1" applyFill="1" applyBorder="1">
      <alignment vertical="center"/>
    </xf>
    <xf numFmtId="46" fontId="6" fillId="8" borderId="7" xfId="0" applyNumberFormat="1" applyFont="1" applyFill="1" applyBorder="1">
      <alignment vertical="center"/>
    </xf>
    <xf numFmtId="46" fontId="5" fillId="2" borderId="7" xfId="0" applyNumberFormat="1" applyFont="1" applyFill="1" applyBorder="1">
      <alignment vertical="center"/>
    </xf>
    <xf numFmtId="46" fontId="4" fillId="4" borderId="7" xfId="0" applyNumberFormat="1" applyFont="1" applyFill="1" applyBorder="1">
      <alignment vertical="center"/>
    </xf>
    <xf numFmtId="166" fontId="4" fillId="4" borderId="7" xfId="0" applyNumberFormat="1" applyFont="1" applyFill="1" applyBorder="1">
      <alignment vertical="center"/>
    </xf>
    <xf numFmtId="0" fontId="12" fillId="0" borderId="0" xfId="0" applyFont="1">
      <alignment vertical="center"/>
    </xf>
    <xf numFmtId="166" fontId="10" fillId="6" borderId="7" xfId="0" applyNumberFormat="1" applyFont="1" applyFill="1" applyBorder="1">
      <alignment vertical="center"/>
    </xf>
    <xf numFmtId="164" fontId="5" fillId="5" borderId="7" xfId="0" applyNumberFormat="1" applyFont="1" applyFill="1" applyBorder="1" applyAlignment="1">
      <alignment horizontal="center" vertical="top" wrapText="1"/>
    </xf>
    <xf numFmtId="165" fontId="9" fillId="6" borderId="7" xfId="0" applyNumberFormat="1" applyFont="1" applyFill="1" applyBorder="1">
      <alignment vertical="center"/>
    </xf>
    <xf numFmtId="164" fontId="5" fillId="7" borderId="7" xfId="0" applyNumberFormat="1" applyFont="1" applyFill="1" applyBorder="1" applyAlignment="1">
      <alignment horizontal="center" vertical="top" wrapText="1"/>
    </xf>
    <xf numFmtId="164" fontId="5" fillId="2" borderId="7" xfId="0" applyNumberFormat="1" applyFont="1" applyFill="1" applyBorder="1" applyAlignment="1">
      <alignment horizontal="center" vertical="top" wrapText="1"/>
    </xf>
    <xf numFmtId="165" fontId="8" fillId="5" borderId="7" xfId="0" applyNumberFormat="1" applyFont="1" applyFill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5" fontId="8" fillId="5" borderId="7" xfId="0" applyNumberFormat="1" applyFont="1" applyFill="1" applyBorder="1" applyAlignment="1">
      <alignment horizontal="center" vertical="center"/>
    </xf>
    <xf numFmtId="0" fontId="12" fillId="5" borderId="0" xfId="0" applyFont="1" applyFill="1">
      <alignment vertical="center"/>
    </xf>
    <xf numFmtId="164" fontId="5" fillId="0" borderId="0" xfId="0" applyNumberFormat="1" applyFont="1" applyAlignment="1">
      <alignment horizontal="center" vertical="top" wrapText="1"/>
    </xf>
    <xf numFmtId="165" fontId="8" fillId="0" borderId="0" xfId="0" applyNumberFormat="1" applyFont="1" applyAlignment="1">
      <alignment horizontal="center" vertical="center"/>
    </xf>
    <xf numFmtId="0" fontId="19" fillId="8" borderId="7" xfId="0" applyFont="1" applyFill="1" applyBorder="1">
      <alignment vertical="center"/>
    </xf>
    <xf numFmtId="165" fontId="8" fillId="12" borderId="7" xfId="0" applyNumberFormat="1" applyFont="1" applyFill="1" applyBorder="1" applyAlignment="1">
      <alignment horizontal="center" vertical="center"/>
    </xf>
    <xf numFmtId="165" fontId="10" fillId="6" borderId="7" xfId="0" applyNumberFormat="1" applyFont="1" applyFill="1" applyBorder="1">
      <alignment vertical="center"/>
    </xf>
    <xf numFmtId="0" fontId="20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6" fillId="4" borderId="7" xfId="0" applyNumberFormat="1" applyFont="1" applyFill="1" applyBorder="1">
      <alignment vertical="center"/>
    </xf>
    <xf numFmtId="0" fontId="11" fillId="0" borderId="0" xfId="0" applyFont="1" applyAlignment="1">
      <alignment horizontal="center" vertical="center"/>
    </xf>
    <xf numFmtId="165" fontId="6" fillId="14" borderId="4" xfId="0" applyNumberFormat="1" applyFont="1" applyFill="1" applyBorder="1" applyAlignment="1">
      <alignment horizontal="center" vertical="center" wrapText="1"/>
    </xf>
    <xf numFmtId="165" fontId="6" fillId="14" borderId="5" xfId="0" applyNumberFormat="1" applyFont="1" applyFill="1" applyBorder="1" applyAlignment="1">
      <alignment horizontal="center" vertical="center" wrapText="1"/>
    </xf>
    <xf numFmtId="165" fontId="6" fillId="14" borderId="10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165" fontId="6" fillId="2" borderId="10" xfId="0" applyNumberFormat="1" applyFont="1" applyFill="1" applyBorder="1" applyAlignment="1">
      <alignment horizontal="center" vertical="center" wrapText="1"/>
    </xf>
    <xf numFmtId="0" fontId="18" fillId="8" borderId="7" xfId="0" applyFont="1" applyFill="1" applyBorder="1">
      <alignment vertical="center"/>
    </xf>
    <xf numFmtId="0" fontId="6" fillId="8" borderId="7" xfId="0" applyFont="1" applyFill="1" applyBorder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>
      <alignment vertical="center"/>
    </xf>
    <xf numFmtId="0" fontId="8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1" xfId="0" applyNumberFormat="1" applyFont="1" applyBorder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165" fontId="4" fillId="0" borderId="9" xfId="0" applyNumberFormat="1" applyFont="1" applyBorder="1" applyAlignment="1">
      <alignment horizontal="center" vertical="center" wrapText="1"/>
    </xf>
    <xf numFmtId="165" fontId="4" fillId="0" borderId="11" xfId="0" applyNumberFormat="1" applyFont="1" applyBorder="1" applyAlignment="1">
      <alignment vertical="center" wrapText="1"/>
    </xf>
    <xf numFmtId="0" fontId="1" fillId="2" borderId="1" xfId="1" applyFont="1" applyFill="1" applyBorder="1" applyAlignment="1" applyProtection="1">
      <alignment horizontal="center" vertical="center"/>
    </xf>
    <xf numFmtId="0" fontId="1" fillId="2" borderId="2" xfId="1" applyFont="1" applyFill="1" applyBorder="1" applyAlignment="1" applyProtection="1">
      <alignment horizontal="center" vertical="center"/>
    </xf>
    <xf numFmtId="0" fontId="1" fillId="2" borderId="5" xfId="1" applyFont="1" applyFill="1" applyBorder="1" applyAlignment="1" applyProtection="1">
      <alignment horizontal="center" vertical="center"/>
    </xf>
    <xf numFmtId="165" fontId="1" fillId="2" borderId="5" xfId="1" applyNumberFormat="1" applyFont="1" applyFill="1" applyBorder="1" applyAlignment="1" applyProtection="1">
      <alignment horizontal="center" vertical="center"/>
    </xf>
    <xf numFmtId="165" fontId="1" fillId="2" borderId="10" xfId="1" applyNumberFormat="1" applyFont="1" applyFill="1" applyBorder="1" applyAlignment="1" applyProtection="1">
      <alignment horizontal="center" vertical="center"/>
    </xf>
    <xf numFmtId="0" fontId="2" fillId="3" borderId="3" xfId="3" applyFont="1" applyFill="1" applyBorder="1" applyAlignment="1" applyProtection="1">
      <alignment horizontal="center"/>
    </xf>
    <xf numFmtId="0" fontId="2" fillId="3" borderId="0" xfId="3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5" xfId="1" applyFont="1" applyFill="1" applyBorder="1" applyAlignment="1" applyProtection="1">
      <alignment horizontal="center"/>
    </xf>
    <xf numFmtId="165" fontId="3" fillId="2" borderId="5" xfId="1" applyNumberFormat="1" applyFont="1" applyFill="1" applyBorder="1" applyAlignment="1" applyProtection="1">
      <alignment horizontal="center"/>
    </xf>
    <xf numFmtId="165" fontId="3" fillId="2" borderId="10" xfId="1" applyNumberFormat="1" applyFont="1" applyFill="1" applyBorder="1" applyAlignment="1" applyProtection="1">
      <alignment horizontal="center"/>
    </xf>
    <xf numFmtId="0" fontId="4" fillId="2" borderId="6" xfId="2" applyFont="1" applyFill="1" applyBorder="1" applyAlignment="1" applyProtection="1">
      <alignment horizontal="center" vertical="center"/>
    </xf>
    <xf numFmtId="0" fontId="4" fillId="2" borderId="8" xfId="2" applyFont="1" applyFill="1" applyBorder="1" applyAlignment="1" applyProtection="1">
      <alignment horizontal="center" vertical="center"/>
    </xf>
    <xf numFmtId="0" fontId="4" fillId="2" borderId="7" xfId="2" applyFont="1" applyFill="1" applyBorder="1" applyAlignment="1" applyProtection="1">
      <alignment horizontal="center" vertical="center"/>
    </xf>
    <xf numFmtId="0" fontId="4" fillId="2" borderId="9" xfId="2" applyFont="1" applyFill="1" applyBorder="1" applyAlignment="1" applyProtection="1">
      <alignment horizontal="center" vertical="center"/>
    </xf>
    <xf numFmtId="0" fontId="4" fillId="2" borderId="7" xfId="2" applyFont="1" applyFill="1" applyBorder="1" applyAlignment="1" applyProtection="1">
      <alignment horizontal="center" vertical="center" wrapText="1"/>
    </xf>
    <xf numFmtId="0" fontId="4" fillId="2" borderId="9" xfId="2" applyFont="1" applyFill="1" applyBorder="1" applyAlignment="1" applyProtection="1">
      <alignment horizontal="center" vertical="center" wrapText="1"/>
    </xf>
    <xf numFmtId="0" fontId="4" fillId="3" borderId="3" xfId="3" applyFont="1" applyFill="1" applyBorder="1" applyAlignment="1" applyProtection="1">
      <alignment horizontal="center"/>
    </xf>
    <xf numFmtId="0" fontId="4" fillId="3" borderId="0" xfId="3" applyFont="1" applyFill="1" applyBorder="1" applyAlignment="1" applyProtection="1">
      <alignment horizontal="center"/>
    </xf>
    <xf numFmtId="165" fontId="6" fillId="13" borderId="4" xfId="0" applyNumberFormat="1" applyFont="1" applyFill="1" applyBorder="1" applyAlignment="1">
      <alignment horizontal="center" vertical="center" wrapText="1"/>
    </xf>
    <xf numFmtId="165" fontId="6" fillId="13" borderId="5" xfId="0" applyNumberFormat="1" applyFont="1" applyFill="1" applyBorder="1" applyAlignment="1">
      <alignment horizontal="center" vertical="center" wrapText="1"/>
    </xf>
    <xf numFmtId="165" fontId="6" fillId="13" borderId="10" xfId="0" applyNumberFormat="1" applyFont="1" applyFill="1" applyBorder="1" applyAlignment="1">
      <alignment horizontal="center" vertical="center" wrapText="1"/>
    </xf>
  </cellXfs>
  <cellStyles count="4">
    <cellStyle name="20% - Gothic1" xfId="2" xr:uid="{00000000-0005-0000-0000-000031000000}"/>
    <cellStyle name="Gothic4" xfId="3" xr:uid="{00000000-0005-0000-0000-000032000000}"/>
    <cellStyle name="Hiperlink" xfId="1" builtinId="8"/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45</xdr:row>
      <xdr:rowOff>152400</xdr:rowOff>
    </xdr:from>
    <xdr:to>
      <xdr:col>16</xdr:col>
      <xdr:colOff>0</xdr:colOff>
      <xdr:row>45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32220C3B-B569-4039-8C0C-DC9B3A43F1B9}"/>
            </a:ext>
          </a:extLst>
        </xdr:cNvPr>
        <xdr:cNvCxnSpPr/>
      </xdr:nvCxnSpPr>
      <xdr:spPr>
        <a:xfrm>
          <a:off x="7458075" y="7696200"/>
          <a:ext cx="3124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44</xdr:row>
      <xdr:rowOff>152400</xdr:rowOff>
    </xdr:from>
    <xdr:to>
      <xdr:col>16</xdr:col>
      <xdr:colOff>0</xdr:colOff>
      <xdr:row>44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7FEB5B4A-804B-4130-AC92-76CD7D2E08B4}"/>
            </a:ext>
          </a:extLst>
        </xdr:cNvPr>
        <xdr:cNvCxnSpPr/>
      </xdr:nvCxnSpPr>
      <xdr:spPr>
        <a:xfrm>
          <a:off x="7439025" y="7696200"/>
          <a:ext cx="3057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45</xdr:row>
      <xdr:rowOff>152400</xdr:rowOff>
    </xdr:from>
    <xdr:to>
      <xdr:col>16</xdr:col>
      <xdr:colOff>0</xdr:colOff>
      <xdr:row>45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8741B31F-E7C8-4DC3-898D-C87C386B8996}"/>
            </a:ext>
          </a:extLst>
        </xdr:cNvPr>
        <xdr:cNvCxnSpPr/>
      </xdr:nvCxnSpPr>
      <xdr:spPr>
        <a:xfrm>
          <a:off x="7543800" y="7534275"/>
          <a:ext cx="3190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44</xdr:row>
      <xdr:rowOff>152400</xdr:rowOff>
    </xdr:from>
    <xdr:to>
      <xdr:col>16</xdr:col>
      <xdr:colOff>0</xdr:colOff>
      <xdr:row>44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65203F74-AF4B-452E-9E7D-0695A8A1E3BD}"/>
            </a:ext>
          </a:extLst>
        </xdr:cNvPr>
        <xdr:cNvCxnSpPr/>
      </xdr:nvCxnSpPr>
      <xdr:spPr>
        <a:xfrm>
          <a:off x="7553325" y="7696200"/>
          <a:ext cx="3057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45</xdr:row>
      <xdr:rowOff>152400</xdr:rowOff>
    </xdr:from>
    <xdr:to>
      <xdr:col>16</xdr:col>
      <xdr:colOff>0</xdr:colOff>
      <xdr:row>45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2AAF8BC9-59EA-43FC-9D68-BD5B3C471C2A}"/>
            </a:ext>
          </a:extLst>
        </xdr:cNvPr>
        <xdr:cNvCxnSpPr/>
      </xdr:nvCxnSpPr>
      <xdr:spPr>
        <a:xfrm>
          <a:off x="7810500" y="7534275"/>
          <a:ext cx="3114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45</xdr:row>
      <xdr:rowOff>152400</xdr:rowOff>
    </xdr:from>
    <xdr:to>
      <xdr:col>16</xdr:col>
      <xdr:colOff>0</xdr:colOff>
      <xdr:row>45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2DB4E155-4AB1-418A-A9B7-24030518CE79}"/>
            </a:ext>
          </a:extLst>
        </xdr:cNvPr>
        <xdr:cNvCxnSpPr/>
      </xdr:nvCxnSpPr>
      <xdr:spPr>
        <a:xfrm>
          <a:off x="7648575" y="7696200"/>
          <a:ext cx="3057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42</xdr:row>
      <xdr:rowOff>152400</xdr:rowOff>
    </xdr:from>
    <xdr:to>
      <xdr:col>16</xdr:col>
      <xdr:colOff>0</xdr:colOff>
      <xdr:row>42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CB10F7E1-A9EC-444B-AD0B-35CE462109A1}"/>
            </a:ext>
          </a:extLst>
        </xdr:cNvPr>
        <xdr:cNvCxnSpPr/>
      </xdr:nvCxnSpPr>
      <xdr:spPr>
        <a:xfrm>
          <a:off x="7715250" y="7696200"/>
          <a:ext cx="3057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45</xdr:row>
      <xdr:rowOff>152400</xdr:rowOff>
    </xdr:from>
    <xdr:to>
      <xdr:col>16</xdr:col>
      <xdr:colOff>0</xdr:colOff>
      <xdr:row>45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79439069-A3FA-4ED4-80C1-252AB499D4A1}"/>
            </a:ext>
          </a:extLst>
        </xdr:cNvPr>
        <xdr:cNvCxnSpPr/>
      </xdr:nvCxnSpPr>
      <xdr:spPr>
        <a:xfrm>
          <a:off x="7648575" y="7210425"/>
          <a:ext cx="3114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44</xdr:row>
      <xdr:rowOff>152400</xdr:rowOff>
    </xdr:from>
    <xdr:to>
      <xdr:col>16</xdr:col>
      <xdr:colOff>0</xdr:colOff>
      <xdr:row>44</xdr:row>
      <xdr:rowOff>152400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45A8C447-093E-421B-9E14-A60A6818B5AB}"/>
            </a:ext>
          </a:extLst>
        </xdr:cNvPr>
        <xdr:cNvCxnSpPr/>
      </xdr:nvCxnSpPr>
      <xdr:spPr>
        <a:xfrm>
          <a:off x="7620000" y="7696200"/>
          <a:ext cx="3057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opLeftCell="A5" workbookViewId="0">
      <selection sqref="A1:Q32"/>
    </sheetView>
  </sheetViews>
  <sheetFormatPr defaultColWidth="9" defaultRowHeight="12.75"/>
  <cols>
    <col min="3" max="3" width="17.85546875" customWidth="1"/>
    <col min="4" max="4" width="10.140625" customWidth="1"/>
  </cols>
  <sheetData>
    <row r="1" spans="1:17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7">
      <c r="A2" s="95" t="s">
        <v>1</v>
      </c>
      <c r="B2" s="96"/>
      <c r="C2" s="96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7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7" ht="25.5" customHeight="1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7">
      <c r="A5" s="1">
        <v>33</v>
      </c>
      <c r="B5" s="1" t="s">
        <v>16</v>
      </c>
      <c r="C5" s="1" t="s">
        <v>17</v>
      </c>
      <c r="D5" s="2">
        <v>44501</v>
      </c>
      <c r="E5" s="38" t="s">
        <v>18</v>
      </c>
      <c r="F5" s="38" t="s">
        <v>19</v>
      </c>
      <c r="G5" s="37">
        <v>0.58541666666666703</v>
      </c>
      <c r="H5" s="38" t="s">
        <v>20</v>
      </c>
      <c r="I5" s="24">
        <v>0.18333333333333299</v>
      </c>
      <c r="J5" s="24">
        <f>F5-E5</f>
        <v>0.20069444444444445</v>
      </c>
      <c r="K5" s="24">
        <f>G5-F5</f>
        <v>5.2083333333333703E-2</v>
      </c>
      <c r="L5" s="24">
        <v>0.18333333333333299</v>
      </c>
      <c r="M5" s="25">
        <f>H5-G5</f>
        <v>0.17569444444444404</v>
      </c>
      <c r="N5" s="25">
        <f t="shared" ref="N5:N24" si="0">M5+J5</f>
        <v>0.3763888888888885</v>
      </c>
      <c r="O5" s="25">
        <f t="shared" ref="O5:O24" si="1">I5+L5</f>
        <v>0.36666666666666597</v>
      </c>
      <c r="P5" s="27">
        <f t="shared" ref="P5:P20" si="2">N5-O5</f>
        <v>9.7222222222225207E-3</v>
      </c>
      <c r="Q5" s="33"/>
    </row>
    <row r="6" spans="1:17">
      <c r="A6" s="1">
        <v>33</v>
      </c>
      <c r="B6" s="1" t="s">
        <v>16</v>
      </c>
      <c r="C6" s="1" t="s">
        <v>17</v>
      </c>
      <c r="D6" s="2">
        <v>44503</v>
      </c>
      <c r="E6" s="38" t="s">
        <v>18</v>
      </c>
      <c r="F6" s="38" t="s">
        <v>21</v>
      </c>
      <c r="G6" s="37">
        <v>0.58472222222222203</v>
      </c>
      <c r="H6" s="38" t="s">
        <v>22</v>
      </c>
      <c r="I6" s="24">
        <v>0.18333333333333299</v>
      </c>
      <c r="J6" s="24">
        <f t="shared" ref="J6:K24" si="3">F6-E6</f>
        <v>0.15833333333333333</v>
      </c>
      <c r="K6" s="24">
        <f t="shared" si="3"/>
        <v>9.3749999999999833E-2</v>
      </c>
      <c r="L6" s="24">
        <v>0.18333333333333299</v>
      </c>
      <c r="M6" s="25">
        <f t="shared" ref="M6:M24" si="4">H6-G6</f>
        <v>0.23055555555555574</v>
      </c>
      <c r="N6" s="25">
        <f t="shared" si="0"/>
        <v>0.38888888888888906</v>
      </c>
      <c r="O6" s="25">
        <f t="shared" si="1"/>
        <v>0.36666666666666597</v>
      </c>
      <c r="P6" s="27">
        <f t="shared" si="2"/>
        <v>2.2222222222223087E-2</v>
      </c>
      <c r="Q6" s="33"/>
    </row>
    <row r="7" spans="1:17">
      <c r="A7" s="1">
        <v>33</v>
      </c>
      <c r="B7" s="1" t="s">
        <v>16</v>
      </c>
      <c r="C7" s="1" t="s">
        <v>17</v>
      </c>
      <c r="D7" s="2">
        <v>44504</v>
      </c>
      <c r="E7" s="38" t="s">
        <v>23</v>
      </c>
      <c r="F7" s="38" t="s">
        <v>24</v>
      </c>
      <c r="G7" s="37">
        <v>0.58958333333333302</v>
      </c>
      <c r="H7" s="38" t="s">
        <v>25</v>
      </c>
      <c r="I7" s="24">
        <v>0.18333333333333299</v>
      </c>
      <c r="J7" s="24">
        <f t="shared" si="3"/>
        <v>0.20555555555555555</v>
      </c>
      <c r="K7" s="24">
        <f t="shared" si="3"/>
        <v>5.2083333333333037E-2</v>
      </c>
      <c r="L7" s="24">
        <v>0.18333333333333299</v>
      </c>
      <c r="M7" s="25">
        <f t="shared" si="4"/>
        <v>0.16527777777777808</v>
      </c>
      <c r="N7" s="25">
        <f t="shared" si="0"/>
        <v>0.37083333333333363</v>
      </c>
      <c r="O7" s="25">
        <f t="shared" si="1"/>
        <v>0.36666666666666597</v>
      </c>
      <c r="P7" s="27">
        <f t="shared" si="2"/>
        <v>4.1666666666676511E-3</v>
      </c>
      <c r="Q7" s="33"/>
    </row>
    <row r="8" spans="1:17">
      <c r="A8" s="1">
        <v>33</v>
      </c>
      <c r="B8" s="1" t="s">
        <v>16</v>
      </c>
      <c r="C8" s="1" t="s">
        <v>17</v>
      </c>
      <c r="D8" s="2">
        <v>44505</v>
      </c>
      <c r="E8" s="38" t="s">
        <v>18</v>
      </c>
      <c r="F8" s="38">
        <v>0.48263888888888901</v>
      </c>
      <c r="G8" s="38" t="s">
        <v>26</v>
      </c>
      <c r="H8" s="38" t="s">
        <v>27</v>
      </c>
      <c r="I8" s="24">
        <v>0.18333333333333299</v>
      </c>
      <c r="J8" s="24">
        <f t="shared" si="3"/>
        <v>0.15000000000000013</v>
      </c>
      <c r="K8" s="24">
        <f t="shared" si="3"/>
        <v>0.1062499999999999</v>
      </c>
      <c r="L8" s="24">
        <v>0.18333333333333299</v>
      </c>
      <c r="M8" s="25">
        <f t="shared" si="4"/>
        <v>0.16180555555555554</v>
      </c>
      <c r="N8" s="25">
        <f t="shared" si="0"/>
        <v>0.31180555555555567</v>
      </c>
      <c r="O8" s="25">
        <f t="shared" si="1"/>
        <v>0.36666666666666597</v>
      </c>
      <c r="P8" s="26">
        <f>O8-N8</f>
        <v>5.4861111111110306E-2</v>
      </c>
      <c r="Q8" s="33"/>
    </row>
    <row r="9" spans="1:17">
      <c r="A9" s="1">
        <v>33</v>
      </c>
      <c r="B9" s="1" t="s">
        <v>16</v>
      </c>
      <c r="C9" s="1" t="s">
        <v>17</v>
      </c>
      <c r="D9" s="2">
        <v>44508</v>
      </c>
      <c r="E9" s="38" t="s">
        <v>28</v>
      </c>
      <c r="F9" s="38">
        <v>0.49722222222222201</v>
      </c>
      <c r="G9" s="38" t="s">
        <v>29</v>
      </c>
      <c r="H9" s="38" t="s">
        <v>27</v>
      </c>
      <c r="I9" s="24">
        <v>0.18333333333333299</v>
      </c>
      <c r="J9" s="24">
        <f t="shared" si="3"/>
        <v>0.16597222222222202</v>
      </c>
      <c r="K9" s="24">
        <f t="shared" si="3"/>
        <v>5.1388888888889039E-2</v>
      </c>
      <c r="L9" s="24">
        <v>0.18333333333333299</v>
      </c>
      <c r="M9" s="25">
        <f t="shared" si="4"/>
        <v>0.20208333333333339</v>
      </c>
      <c r="N9" s="25">
        <f t="shared" si="0"/>
        <v>0.36805555555555541</v>
      </c>
      <c r="O9" s="25">
        <f t="shared" si="1"/>
        <v>0.36666666666666597</v>
      </c>
      <c r="P9" s="27">
        <f t="shared" si="2"/>
        <v>1.3888888888894391E-3</v>
      </c>
      <c r="Q9" s="33"/>
    </row>
    <row r="10" spans="1:17">
      <c r="A10" s="1">
        <v>33</v>
      </c>
      <c r="B10" s="1" t="s">
        <v>16</v>
      </c>
      <c r="C10" s="1" t="s">
        <v>17</v>
      </c>
      <c r="D10" s="2">
        <v>44509</v>
      </c>
      <c r="E10" s="38" t="s">
        <v>30</v>
      </c>
      <c r="F10" s="38">
        <v>0.49722222222222201</v>
      </c>
      <c r="G10" s="38" t="s">
        <v>31</v>
      </c>
      <c r="H10" s="38" t="s">
        <v>25</v>
      </c>
      <c r="I10" s="24">
        <v>0.18333333333333299</v>
      </c>
      <c r="J10" s="24">
        <f t="shared" si="3"/>
        <v>0.1638888888888887</v>
      </c>
      <c r="K10" s="24">
        <f t="shared" si="3"/>
        <v>5.2083333333333592E-2</v>
      </c>
      <c r="L10" s="24">
        <v>0.18333333333333299</v>
      </c>
      <c r="M10" s="25">
        <f t="shared" si="4"/>
        <v>0.20555555555555549</v>
      </c>
      <c r="N10" s="25">
        <f t="shared" si="0"/>
        <v>0.36944444444444419</v>
      </c>
      <c r="O10" s="25">
        <f t="shared" si="1"/>
        <v>0.36666666666666597</v>
      </c>
      <c r="P10" s="27">
        <f t="shared" si="2"/>
        <v>2.777777777778212E-3</v>
      </c>
      <c r="Q10" s="33"/>
    </row>
    <row r="11" spans="1:17">
      <c r="A11" s="1">
        <v>33</v>
      </c>
      <c r="B11" s="1" t="s">
        <v>16</v>
      </c>
      <c r="C11" s="1" t="s">
        <v>17</v>
      </c>
      <c r="D11" s="2">
        <v>44510</v>
      </c>
      <c r="E11" s="38" t="s">
        <v>23</v>
      </c>
      <c r="F11" s="37">
        <v>0.50972222222222197</v>
      </c>
      <c r="G11" s="38" t="s">
        <v>32</v>
      </c>
      <c r="H11" s="38" t="s">
        <v>33</v>
      </c>
      <c r="I11" s="24">
        <v>0.18333333333333299</v>
      </c>
      <c r="J11" s="24">
        <f t="shared" si="3"/>
        <v>0.17777777777777753</v>
      </c>
      <c r="K11" s="24">
        <f t="shared" si="3"/>
        <v>5.2083333333333592E-2</v>
      </c>
      <c r="L11" s="24">
        <v>0.18333333333333299</v>
      </c>
      <c r="M11" s="25">
        <f t="shared" si="4"/>
        <v>0.19861111111111107</v>
      </c>
      <c r="N11" s="25">
        <f t="shared" si="0"/>
        <v>0.37638888888888861</v>
      </c>
      <c r="O11" s="25">
        <f t="shared" si="1"/>
        <v>0.36666666666666597</v>
      </c>
      <c r="P11" s="27">
        <f t="shared" si="2"/>
        <v>9.7222222222226318E-3</v>
      </c>
      <c r="Q11" s="33"/>
    </row>
    <row r="12" spans="1:17">
      <c r="A12" s="1">
        <v>33</v>
      </c>
      <c r="B12" s="1" t="s">
        <v>16</v>
      </c>
      <c r="C12" s="1" t="s">
        <v>17</v>
      </c>
      <c r="D12" s="2">
        <v>44511</v>
      </c>
      <c r="E12" s="38" t="s">
        <v>23</v>
      </c>
      <c r="F12" s="38" t="s">
        <v>19</v>
      </c>
      <c r="G12" s="37">
        <v>0.58541666666666703</v>
      </c>
      <c r="H12" s="38" t="s">
        <v>34</v>
      </c>
      <c r="I12" s="24">
        <v>0.18333333333333299</v>
      </c>
      <c r="J12" s="24">
        <f t="shared" si="3"/>
        <v>0.2013888888888889</v>
      </c>
      <c r="K12" s="24">
        <f t="shared" si="3"/>
        <v>5.2083333333333703E-2</v>
      </c>
      <c r="L12" s="24">
        <v>0.18333333333333299</v>
      </c>
      <c r="M12" s="25">
        <f t="shared" si="4"/>
        <v>0.25972222222222197</v>
      </c>
      <c r="N12" s="25">
        <f t="shared" si="0"/>
        <v>0.46111111111111086</v>
      </c>
      <c r="O12" s="25">
        <f t="shared" si="1"/>
        <v>0.36666666666666597</v>
      </c>
      <c r="P12" s="27">
        <f t="shared" si="2"/>
        <v>9.4444444444444886E-2</v>
      </c>
      <c r="Q12" s="33"/>
    </row>
    <row r="13" spans="1:17">
      <c r="A13" s="1">
        <v>33</v>
      </c>
      <c r="B13" s="1" t="s">
        <v>16</v>
      </c>
      <c r="C13" s="1" t="s">
        <v>17</v>
      </c>
      <c r="D13" s="2">
        <v>44512</v>
      </c>
      <c r="E13" s="38" t="s">
        <v>35</v>
      </c>
      <c r="F13" s="38" t="s">
        <v>36</v>
      </c>
      <c r="G13" s="37">
        <v>0.58888888888888902</v>
      </c>
      <c r="H13" s="38" t="s">
        <v>37</v>
      </c>
      <c r="I13" s="24">
        <v>0.18333333333333299</v>
      </c>
      <c r="J13" s="24">
        <f t="shared" si="3"/>
        <v>0.20277777777777772</v>
      </c>
      <c r="K13" s="24">
        <f t="shared" si="3"/>
        <v>5.2083333333333481E-2</v>
      </c>
      <c r="L13" s="24">
        <v>0.18333333333333299</v>
      </c>
      <c r="M13" s="25">
        <f t="shared" si="4"/>
        <v>0.17083333333333328</v>
      </c>
      <c r="N13" s="25">
        <f t="shared" si="0"/>
        <v>0.37361111111111101</v>
      </c>
      <c r="O13" s="25">
        <f t="shared" si="1"/>
        <v>0.36666666666666597</v>
      </c>
      <c r="P13" s="27">
        <f t="shared" si="2"/>
        <v>6.9444444444450304E-3</v>
      </c>
      <c r="Q13" s="33"/>
    </row>
    <row r="14" spans="1:17">
      <c r="A14" s="1">
        <v>33</v>
      </c>
      <c r="B14" s="1" t="s">
        <v>16</v>
      </c>
      <c r="C14" s="1" t="s">
        <v>17</v>
      </c>
      <c r="D14" s="2">
        <v>44516</v>
      </c>
      <c r="E14" s="38" t="s">
        <v>38</v>
      </c>
      <c r="F14" s="38" t="s">
        <v>39</v>
      </c>
      <c r="G14" s="38" t="s">
        <v>40</v>
      </c>
      <c r="H14" s="38" t="s">
        <v>41</v>
      </c>
      <c r="I14" s="24">
        <v>0.18333333333333299</v>
      </c>
      <c r="J14" s="24">
        <f t="shared" si="3"/>
        <v>0.19930555555555557</v>
      </c>
      <c r="K14" s="24">
        <f t="shared" si="3"/>
        <v>5.4166666666666585E-2</v>
      </c>
      <c r="L14" s="24">
        <v>0.18333333333333299</v>
      </c>
      <c r="M14" s="25">
        <f t="shared" si="4"/>
        <v>0.17361111111111116</v>
      </c>
      <c r="N14" s="25">
        <f t="shared" si="0"/>
        <v>0.37291666666666673</v>
      </c>
      <c r="O14" s="25">
        <f t="shared" si="1"/>
        <v>0.36666666666666597</v>
      </c>
      <c r="P14" s="27">
        <f t="shared" si="2"/>
        <v>6.250000000000755E-3</v>
      </c>
      <c r="Q14" s="33"/>
    </row>
    <row r="15" spans="1:17">
      <c r="A15" s="1">
        <v>33</v>
      </c>
      <c r="B15" s="1" t="s">
        <v>16</v>
      </c>
      <c r="C15" s="1" t="s">
        <v>17</v>
      </c>
      <c r="D15" s="2">
        <v>44517</v>
      </c>
      <c r="E15" s="38" t="s">
        <v>18</v>
      </c>
      <c r="F15" s="38" t="s">
        <v>42</v>
      </c>
      <c r="G15" s="37">
        <v>0.59097222222222201</v>
      </c>
      <c r="H15" s="38" t="s">
        <v>43</v>
      </c>
      <c r="I15" s="24">
        <v>0.18333333333333299</v>
      </c>
      <c r="J15" s="24">
        <f t="shared" si="3"/>
        <v>0.20624999999999999</v>
      </c>
      <c r="K15" s="24">
        <f t="shared" si="3"/>
        <v>5.2083333333333148E-2</v>
      </c>
      <c r="L15" s="24">
        <v>0.18333333333333299</v>
      </c>
      <c r="M15" s="25">
        <f t="shared" si="4"/>
        <v>0.16041666666666698</v>
      </c>
      <c r="N15" s="25">
        <f t="shared" si="0"/>
        <v>0.36666666666666697</v>
      </c>
      <c r="O15" s="25">
        <f t="shared" si="1"/>
        <v>0.36666666666666597</v>
      </c>
      <c r="P15" s="27">
        <f t="shared" si="2"/>
        <v>9.9920072216264089E-16</v>
      </c>
      <c r="Q15" s="33"/>
    </row>
    <row r="16" spans="1:17">
      <c r="A16" s="1">
        <v>33</v>
      </c>
      <c r="B16" s="1" t="s">
        <v>16</v>
      </c>
      <c r="C16" s="1" t="s">
        <v>17</v>
      </c>
      <c r="D16" s="2">
        <v>44518</v>
      </c>
      <c r="E16" s="38" t="s">
        <v>30</v>
      </c>
      <c r="F16" s="38" t="s">
        <v>44</v>
      </c>
      <c r="G16" s="37">
        <v>0.59166666666666701</v>
      </c>
      <c r="H16" s="38" t="s">
        <v>45</v>
      </c>
      <c r="I16" s="24">
        <v>0.18333333333333299</v>
      </c>
      <c r="J16" s="24">
        <f t="shared" si="3"/>
        <v>0.20624999999999999</v>
      </c>
      <c r="K16" s="24">
        <f t="shared" si="3"/>
        <v>5.2083333333333703E-2</v>
      </c>
      <c r="L16" s="24">
        <v>0.18333333333333299</v>
      </c>
      <c r="M16" s="25">
        <f t="shared" si="4"/>
        <v>0.16111111111111076</v>
      </c>
      <c r="N16" s="25">
        <f t="shared" si="0"/>
        <v>0.36736111111111075</v>
      </c>
      <c r="O16" s="25">
        <f t="shared" si="1"/>
        <v>0.36666666666666597</v>
      </c>
      <c r="P16" s="27">
        <f t="shared" si="2"/>
        <v>6.9444444444477504E-4</v>
      </c>
      <c r="Q16" s="33"/>
    </row>
    <row r="17" spans="1:17">
      <c r="A17" s="1">
        <v>33</v>
      </c>
      <c r="B17" s="1" t="s">
        <v>16</v>
      </c>
      <c r="C17" s="1" t="s">
        <v>17</v>
      </c>
      <c r="D17" s="2">
        <v>44519</v>
      </c>
      <c r="E17" s="38" t="s">
        <v>46</v>
      </c>
      <c r="F17" s="38" t="s">
        <v>44</v>
      </c>
      <c r="G17" s="37">
        <v>0.59166666666666701</v>
      </c>
      <c r="H17" s="38" t="s">
        <v>47</v>
      </c>
      <c r="I17" s="24">
        <v>0.18333333333333299</v>
      </c>
      <c r="J17" s="24">
        <f t="shared" si="3"/>
        <v>0.2048611111111111</v>
      </c>
      <c r="K17" s="24">
        <f t="shared" si="3"/>
        <v>5.2083333333333703E-2</v>
      </c>
      <c r="L17" s="24">
        <v>0.18333333333333299</v>
      </c>
      <c r="M17" s="25">
        <f t="shared" si="4"/>
        <v>0.23402777777777739</v>
      </c>
      <c r="N17" s="25">
        <f t="shared" si="0"/>
        <v>0.4388888888888885</v>
      </c>
      <c r="O17" s="25">
        <f t="shared" si="1"/>
        <v>0.36666666666666597</v>
      </c>
      <c r="P17" s="27">
        <f t="shared" si="2"/>
        <v>7.2222222222222521E-2</v>
      </c>
      <c r="Q17" s="33"/>
    </row>
    <row r="18" spans="1:17">
      <c r="A18" s="1">
        <v>33</v>
      </c>
      <c r="B18" s="1" t="s">
        <v>16</v>
      </c>
      <c r="C18" s="1" t="s">
        <v>17</v>
      </c>
      <c r="D18" s="2">
        <v>44522</v>
      </c>
      <c r="E18" s="38" t="s">
        <v>48</v>
      </c>
      <c r="F18" s="38" t="s">
        <v>24</v>
      </c>
      <c r="G18" s="38" t="s">
        <v>49</v>
      </c>
      <c r="H18" s="37">
        <v>0.75</v>
      </c>
      <c r="I18" s="24">
        <v>0.18333333333333299</v>
      </c>
      <c r="J18" s="24">
        <f t="shared" si="3"/>
        <v>0.20208333333333328</v>
      </c>
      <c r="K18" s="24">
        <f t="shared" si="3"/>
        <v>5.208333333333337E-2</v>
      </c>
      <c r="L18" s="24">
        <v>0.18333333333333299</v>
      </c>
      <c r="M18" s="25">
        <f t="shared" si="4"/>
        <v>0.16041666666666665</v>
      </c>
      <c r="N18" s="25">
        <f t="shared" si="0"/>
        <v>0.36249999999999993</v>
      </c>
      <c r="O18" s="25">
        <f t="shared" si="1"/>
        <v>0.36666666666666597</v>
      </c>
      <c r="P18" s="26">
        <f>O18-N18</f>
        <v>4.1666666666660412E-3</v>
      </c>
      <c r="Q18" s="33"/>
    </row>
    <row r="19" spans="1:17">
      <c r="A19" s="1">
        <v>33</v>
      </c>
      <c r="B19" s="1" t="s">
        <v>16</v>
      </c>
      <c r="C19" s="1" t="s">
        <v>17</v>
      </c>
      <c r="D19" s="2">
        <v>44523</v>
      </c>
      <c r="E19" s="38" t="s">
        <v>50</v>
      </c>
      <c r="F19" s="37">
        <v>0.51319444444444395</v>
      </c>
      <c r="G19" s="38" t="s">
        <v>51</v>
      </c>
      <c r="H19" s="38" t="s">
        <v>45</v>
      </c>
      <c r="I19" s="24">
        <v>0.18333333333333299</v>
      </c>
      <c r="J19" s="24">
        <f t="shared" si="3"/>
        <v>0.17361111111111061</v>
      </c>
      <c r="K19" s="24">
        <f t="shared" si="3"/>
        <v>5.2083333333333814E-2</v>
      </c>
      <c r="L19" s="24">
        <v>0.18333333333333299</v>
      </c>
      <c r="M19" s="25">
        <f t="shared" si="4"/>
        <v>0.1875</v>
      </c>
      <c r="N19" s="25">
        <f t="shared" si="0"/>
        <v>0.36111111111111061</v>
      </c>
      <c r="O19" s="25">
        <f t="shared" si="1"/>
        <v>0.36666666666666597</v>
      </c>
      <c r="P19" s="26">
        <f>O19-N19</f>
        <v>5.5555555555553693E-3</v>
      </c>
      <c r="Q19" s="33"/>
    </row>
    <row r="20" spans="1:17">
      <c r="A20" s="1">
        <v>33</v>
      </c>
      <c r="B20" s="1" t="s">
        <v>16</v>
      </c>
      <c r="C20" s="1" t="s">
        <v>17</v>
      </c>
      <c r="D20" s="2">
        <v>44524</v>
      </c>
      <c r="E20" s="38" t="s">
        <v>35</v>
      </c>
      <c r="F20" s="37">
        <v>0.50902777777777797</v>
      </c>
      <c r="G20" s="38" t="s">
        <v>52</v>
      </c>
      <c r="H20" s="38" t="s">
        <v>45</v>
      </c>
      <c r="I20" s="24">
        <v>0.18333333333333299</v>
      </c>
      <c r="J20" s="24">
        <f t="shared" si="3"/>
        <v>0.17500000000000016</v>
      </c>
      <c r="K20" s="24">
        <f t="shared" si="3"/>
        <v>5.2083333333333148E-2</v>
      </c>
      <c r="L20" s="24">
        <v>0.18333333333333299</v>
      </c>
      <c r="M20" s="25">
        <f t="shared" si="4"/>
        <v>0.19166666666666665</v>
      </c>
      <c r="N20" s="25">
        <f t="shared" si="0"/>
        <v>0.36666666666666681</v>
      </c>
      <c r="O20" s="25">
        <f t="shared" si="1"/>
        <v>0.36666666666666597</v>
      </c>
      <c r="P20" s="27">
        <f t="shared" si="2"/>
        <v>8.3266726846886741E-16</v>
      </c>
      <c r="Q20" s="33"/>
    </row>
    <row r="21" spans="1:17">
      <c r="A21" s="1">
        <v>33</v>
      </c>
      <c r="B21" s="1" t="s">
        <v>16</v>
      </c>
      <c r="C21" s="1" t="s">
        <v>17</v>
      </c>
      <c r="D21" s="2">
        <v>44525</v>
      </c>
      <c r="E21" s="35">
        <v>0</v>
      </c>
      <c r="F21" s="35">
        <v>0</v>
      </c>
      <c r="G21" s="35">
        <v>0</v>
      </c>
      <c r="H21" s="35">
        <v>0</v>
      </c>
      <c r="I21" s="43">
        <v>0.18333333333333299</v>
      </c>
      <c r="J21" s="43">
        <f t="shared" si="3"/>
        <v>0</v>
      </c>
      <c r="K21" s="43">
        <f t="shared" si="3"/>
        <v>0</v>
      </c>
      <c r="L21" s="43">
        <v>0.18333333333333299</v>
      </c>
      <c r="M21" s="39">
        <f t="shared" si="4"/>
        <v>0</v>
      </c>
      <c r="N21" s="8">
        <f t="shared" si="0"/>
        <v>0</v>
      </c>
      <c r="O21" s="39">
        <f t="shared" si="1"/>
        <v>0.36666666666666597</v>
      </c>
      <c r="P21" s="39">
        <f t="shared" ref="P21:P24" si="5">O21-N21</f>
        <v>0.36666666666666597</v>
      </c>
      <c r="Q21" s="44" t="s">
        <v>53</v>
      </c>
    </row>
    <row r="22" spans="1:17">
      <c r="A22" s="1">
        <v>33</v>
      </c>
      <c r="B22" s="1" t="s">
        <v>16</v>
      </c>
      <c r="C22" s="1" t="s">
        <v>17</v>
      </c>
      <c r="D22" s="2">
        <v>44526</v>
      </c>
      <c r="E22" s="38" t="s">
        <v>54</v>
      </c>
      <c r="F22" s="38" t="s">
        <v>55</v>
      </c>
      <c r="G22" s="37">
        <v>0.593055555555556</v>
      </c>
      <c r="H22" s="38" t="s">
        <v>43</v>
      </c>
      <c r="I22" s="24">
        <v>0.18333333333333299</v>
      </c>
      <c r="J22" s="24">
        <f t="shared" si="3"/>
        <v>0.21111111111111108</v>
      </c>
      <c r="K22" s="24">
        <f t="shared" si="3"/>
        <v>5.2083333333333814E-2</v>
      </c>
      <c r="L22" s="24">
        <v>0.18333333333333299</v>
      </c>
      <c r="M22" s="25">
        <f t="shared" si="4"/>
        <v>0.15833333333333299</v>
      </c>
      <c r="N22" s="25">
        <f t="shared" si="0"/>
        <v>0.36944444444444408</v>
      </c>
      <c r="O22" s="25">
        <f t="shared" si="1"/>
        <v>0.36666666666666597</v>
      </c>
      <c r="P22" s="27">
        <f t="shared" ref="P22:P23" si="6">N22-O22</f>
        <v>2.777777777778101E-3</v>
      </c>
      <c r="Q22" s="33"/>
    </row>
    <row r="23" spans="1:17">
      <c r="A23" s="1">
        <v>33</v>
      </c>
      <c r="B23" s="1" t="s">
        <v>16</v>
      </c>
      <c r="C23" s="1" t="s">
        <v>17</v>
      </c>
      <c r="D23" s="2">
        <v>44529</v>
      </c>
      <c r="E23" s="38" t="s">
        <v>56</v>
      </c>
      <c r="F23" s="38" t="s">
        <v>19</v>
      </c>
      <c r="G23" s="37">
        <v>0.58541666666666703</v>
      </c>
      <c r="H23" s="38" t="s">
        <v>33</v>
      </c>
      <c r="I23" s="24">
        <v>0.18333333333333299</v>
      </c>
      <c r="J23" s="24">
        <f t="shared" si="3"/>
        <v>0.20555555555555555</v>
      </c>
      <c r="K23" s="24">
        <f t="shared" si="3"/>
        <v>5.2083333333333703E-2</v>
      </c>
      <c r="L23" s="24">
        <v>0.18333333333333299</v>
      </c>
      <c r="M23" s="25">
        <f t="shared" si="4"/>
        <v>0.1749999999999996</v>
      </c>
      <c r="N23" s="25">
        <f t="shared" si="0"/>
        <v>0.38055555555555515</v>
      </c>
      <c r="O23" s="25">
        <f t="shared" si="1"/>
        <v>0.36666666666666597</v>
      </c>
      <c r="P23" s="27">
        <f t="shared" si="6"/>
        <v>1.3888888888889173E-2</v>
      </c>
      <c r="Q23" s="33"/>
    </row>
    <row r="24" spans="1:17">
      <c r="A24" s="1">
        <v>33</v>
      </c>
      <c r="B24" s="1" t="s">
        <v>16</v>
      </c>
      <c r="C24" s="1" t="s">
        <v>17</v>
      </c>
      <c r="D24" s="2">
        <v>44530</v>
      </c>
      <c r="E24" s="38" t="s">
        <v>30</v>
      </c>
      <c r="F24" s="38" t="s">
        <v>57</v>
      </c>
      <c r="G24" s="38" t="s">
        <v>58</v>
      </c>
      <c r="H24" s="38" t="s">
        <v>59</v>
      </c>
      <c r="I24" s="24">
        <v>0.18333333333333299</v>
      </c>
      <c r="J24" s="24">
        <f t="shared" si="3"/>
        <v>0.19583333333333336</v>
      </c>
      <c r="K24" s="24">
        <f t="shared" si="3"/>
        <v>6.3888888888888884E-2</v>
      </c>
      <c r="L24" s="24">
        <v>0.18333333333333299</v>
      </c>
      <c r="M24" s="25">
        <f t="shared" si="4"/>
        <v>0.1166666666666667</v>
      </c>
      <c r="N24" s="25">
        <f t="shared" si="0"/>
        <v>0.31250000000000006</v>
      </c>
      <c r="O24" s="25">
        <f t="shared" si="1"/>
        <v>0.36666666666666597</v>
      </c>
      <c r="P24" s="26">
        <f t="shared" si="5"/>
        <v>5.4166666666665919E-2</v>
      </c>
      <c r="Q24" s="33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33"/>
    </row>
    <row r="26" spans="1:17">
      <c r="A26" s="40"/>
      <c r="B26" s="4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5"/>
      <c r="Q26" s="33"/>
    </row>
    <row r="27" spans="1:17">
      <c r="A27" s="42"/>
      <c r="B27" s="4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33"/>
    </row>
    <row r="28" spans="1:17">
      <c r="A28" s="4"/>
      <c r="B28" s="4"/>
      <c r="C28" s="5" t="s">
        <v>60</v>
      </c>
      <c r="D28" s="6">
        <f>P5+P6+P7+P9+P10+P11+P12+P13+P14+P15+P16+P20+P22+P23+P17</f>
        <v>0.24722222222223061</v>
      </c>
      <c r="E28" s="9"/>
      <c r="F28" s="68" t="s">
        <v>61</v>
      </c>
      <c r="G28" s="68"/>
      <c r="H28" s="68"/>
      <c r="I28" s="9"/>
      <c r="J28" s="9"/>
      <c r="K28" s="9"/>
      <c r="L28" s="9"/>
      <c r="M28" s="9"/>
      <c r="N28" s="9"/>
      <c r="O28" s="9"/>
      <c r="P28" s="15"/>
      <c r="Q28" s="33"/>
    </row>
    <row r="29" spans="1:17">
      <c r="A29" s="4"/>
      <c r="B29" s="4"/>
      <c r="C29" s="7" t="s">
        <v>62</v>
      </c>
      <c r="D29" s="8">
        <f>P21</f>
        <v>0.36666666666666597</v>
      </c>
      <c r="E29" s="9"/>
      <c r="F29" s="11"/>
      <c r="G29" s="67" t="s">
        <v>63</v>
      </c>
      <c r="H29" s="67"/>
      <c r="I29" s="9"/>
      <c r="J29" s="9"/>
      <c r="K29" s="9"/>
      <c r="L29" s="9"/>
      <c r="M29" s="9"/>
      <c r="N29" s="9"/>
      <c r="O29" s="9"/>
      <c r="P29" s="15"/>
      <c r="Q29" s="33"/>
    </row>
    <row r="30" spans="1:17">
      <c r="A30" s="68" t="s">
        <v>64</v>
      </c>
      <c r="B30" s="68"/>
      <c r="C30" s="10" t="s">
        <v>65</v>
      </c>
      <c r="D30" s="36">
        <f>P8+P18+P19+P24</f>
        <v>0.11874999999999764</v>
      </c>
      <c r="E30" s="9"/>
      <c r="F30" s="16"/>
      <c r="G30" s="67" t="s">
        <v>60</v>
      </c>
      <c r="H30" s="67"/>
      <c r="I30" s="9"/>
      <c r="J30" s="9"/>
      <c r="K30" s="9"/>
      <c r="L30" s="9"/>
      <c r="M30" s="9"/>
      <c r="N30" s="9"/>
      <c r="O30" s="9"/>
      <c r="P30" s="9"/>
      <c r="Q30" s="33"/>
    </row>
    <row r="31" spans="1:17">
      <c r="A31" s="9"/>
      <c r="B31" s="9"/>
      <c r="C31" s="17"/>
      <c r="D31" s="18"/>
      <c r="E31" s="9"/>
      <c r="F31" s="19"/>
      <c r="G31" s="67" t="s">
        <v>65</v>
      </c>
      <c r="H31" s="67"/>
      <c r="I31" s="9"/>
      <c r="J31" s="9"/>
      <c r="K31" s="9"/>
      <c r="L31" s="9"/>
      <c r="M31" s="9"/>
      <c r="N31" s="9"/>
      <c r="O31" s="9"/>
      <c r="P31" s="9"/>
      <c r="Q31" s="33"/>
    </row>
    <row r="32" spans="1:17">
      <c r="A32" s="9"/>
      <c r="B32" s="9"/>
      <c r="C32" s="20" t="s">
        <v>66</v>
      </c>
      <c r="D32" s="36">
        <f>D29+D30-D28</f>
        <v>0.238194444444433</v>
      </c>
      <c r="E32" s="9"/>
      <c r="F32" s="22"/>
      <c r="G32" s="67" t="s">
        <v>62</v>
      </c>
      <c r="H32" s="67"/>
      <c r="I32" s="9"/>
      <c r="J32" s="9"/>
      <c r="K32" s="9"/>
      <c r="L32" s="9"/>
      <c r="M32" s="9"/>
      <c r="N32" s="9"/>
      <c r="O32" s="9"/>
      <c r="P32" s="15"/>
      <c r="Q32" s="33"/>
    </row>
  </sheetData>
  <mergeCells count="23">
    <mergeCell ref="A1:P1"/>
    <mergeCell ref="A2:C2"/>
    <mergeCell ref="D2:P2"/>
    <mergeCell ref="F28:H28"/>
    <mergeCell ref="G29:H29"/>
    <mergeCell ref="I3:I4"/>
    <mergeCell ref="J3:J4"/>
    <mergeCell ref="K3:K4"/>
    <mergeCell ref="L3:L4"/>
    <mergeCell ref="M3:M4"/>
    <mergeCell ref="N3:N4"/>
    <mergeCell ref="O3:O4"/>
    <mergeCell ref="P3:P4"/>
    <mergeCell ref="A30:B30"/>
    <mergeCell ref="G30:H30"/>
    <mergeCell ref="G31:H31"/>
    <mergeCell ref="G32:H32"/>
    <mergeCell ref="A3:A4"/>
    <mergeCell ref="B3:B4"/>
    <mergeCell ref="C3:C4"/>
    <mergeCell ref="D3:D4"/>
    <mergeCell ref="E3:F4"/>
    <mergeCell ref="G3:H4"/>
  </mergeCells>
  <conditionalFormatting sqref="N21">
    <cfRule type="cellIs" dxfId="3" priority="1" operator="lessThan">
      <formula>0.365972222222222</formula>
    </cfRule>
    <cfRule type="cellIs" dxfId="2" priority="2" operator="greaterThan">
      <formula>0.366666666666667</formula>
    </cfRule>
    <cfRule type="cellIs" dxfId="1" priority="3" operator="greaterThan">
      <formula>0.365972222222222</formula>
    </cfRule>
    <cfRule type="cellIs" dxfId="0" priority="6" operator="lessThan">
      <formula>0.366666666666667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D627-9A83-481E-8E79-7206814E7EF5}">
  <sheetPr>
    <pageSetUpPr fitToPage="1"/>
  </sheetPr>
  <dimension ref="A1:P46"/>
  <sheetViews>
    <sheetView workbookViewId="0">
      <selection activeCell="D39" sqref="D39"/>
    </sheetView>
  </sheetViews>
  <sheetFormatPr defaultRowHeight="12.75"/>
  <cols>
    <col min="2" max="2" width="11.42578125" customWidth="1"/>
    <col min="3" max="3" width="16" customWidth="1"/>
    <col min="4" max="4" width="11.140625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83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45870</v>
      </c>
      <c r="E5" s="3">
        <v>0.33333333333333331</v>
      </c>
      <c r="F5" s="3">
        <v>0.5</v>
      </c>
      <c r="G5" s="3">
        <v>0.55000000000000004</v>
      </c>
      <c r="H5" s="3">
        <v>0.75</v>
      </c>
      <c r="I5" s="24">
        <v>0.18333333333333299</v>
      </c>
      <c r="J5" s="24">
        <f t="shared" ref="J5" si="0">F5-E5</f>
        <v>0.16666666666666669</v>
      </c>
      <c r="K5" s="24">
        <f>G5-F5</f>
        <v>5.0000000000000044E-2</v>
      </c>
      <c r="L5" s="24">
        <v>0.18333333333333299</v>
      </c>
      <c r="M5" s="25">
        <f t="shared" ref="M5" si="1">H5-G5</f>
        <v>0.19999999999999996</v>
      </c>
      <c r="N5" s="25">
        <f t="shared" ref="N5" si="2">M5+J5</f>
        <v>0.36666666666666664</v>
      </c>
      <c r="O5" s="25">
        <f t="shared" ref="O5" si="3">I5+L5</f>
        <v>0.36666666666666597</v>
      </c>
      <c r="P5" s="27">
        <f>N5-O5</f>
        <v>6.6613381477509392E-16</v>
      </c>
    </row>
    <row r="6" spans="1:16">
      <c r="A6" s="1">
        <v>85</v>
      </c>
      <c r="B6" s="1" t="s">
        <v>84</v>
      </c>
      <c r="C6" s="1"/>
      <c r="D6" s="2">
        <v>45871</v>
      </c>
      <c r="E6" s="60" t="s">
        <v>75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2"/>
    </row>
    <row r="7" spans="1:16">
      <c r="A7" s="1">
        <v>85</v>
      </c>
      <c r="B7" s="1" t="s">
        <v>84</v>
      </c>
      <c r="C7" s="1"/>
      <c r="D7" s="2">
        <v>45872</v>
      </c>
      <c r="E7" s="57" t="s">
        <v>67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9"/>
    </row>
    <row r="8" spans="1:16">
      <c r="A8" s="1">
        <v>85</v>
      </c>
      <c r="B8" s="1" t="s">
        <v>84</v>
      </c>
      <c r="C8" s="1"/>
      <c r="D8" s="2">
        <v>45873</v>
      </c>
      <c r="E8" s="37">
        <v>0.33333333333333331</v>
      </c>
      <c r="F8" s="3">
        <v>0.51597222222222228</v>
      </c>
      <c r="G8" s="3">
        <v>0.56458333333333333</v>
      </c>
      <c r="H8" s="3">
        <v>0.75</v>
      </c>
      <c r="I8" s="24">
        <v>0.18333333333333299</v>
      </c>
      <c r="J8" s="24">
        <f t="shared" ref="J8:J12" si="4">F8-E8</f>
        <v>0.18263888888888896</v>
      </c>
      <c r="K8" s="24">
        <f>G8-F8</f>
        <v>4.8611111111111049E-2</v>
      </c>
      <c r="L8" s="24">
        <v>0.18333333333333299</v>
      </c>
      <c r="M8" s="25">
        <f t="shared" ref="M8:M12" si="5">H8-G8</f>
        <v>0.18541666666666667</v>
      </c>
      <c r="N8" s="25">
        <f t="shared" ref="N8:N12" si="6">M8+J8</f>
        <v>0.36805555555555564</v>
      </c>
      <c r="O8" s="25">
        <f t="shared" ref="O8" si="7">I8+L8</f>
        <v>0.36666666666666597</v>
      </c>
      <c r="P8" s="27">
        <f>N8-O8</f>
        <v>1.3888888888896611E-3</v>
      </c>
    </row>
    <row r="9" spans="1:16">
      <c r="A9" s="1">
        <v>85</v>
      </c>
      <c r="B9" s="1" t="s">
        <v>84</v>
      </c>
      <c r="C9" s="1"/>
      <c r="D9" s="2">
        <v>45874</v>
      </c>
      <c r="E9" s="3">
        <v>0.33333333333333331</v>
      </c>
      <c r="F9" s="3">
        <v>0.5</v>
      </c>
      <c r="G9" s="3">
        <v>0.5493055555555556</v>
      </c>
      <c r="H9" s="3">
        <v>0.75624999999999998</v>
      </c>
      <c r="I9" s="24">
        <v>0.18333333333333299</v>
      </c>
      <c r="J9" s="24">
        <f t="shared" si="4"/>
        <v>0.16666666666666669</v>
      </c>
      <c r="K9" s="24">
        <f>G9-F9</f>
        <v>4.9305555555555602E-2</v>
      </c>
      <c r="L9" s="24">
        <v>0.266666666666666</v>
      </c>
      <c r="M9" s="25">
        <f t="shared" si="5"/>
        <v>0.20694444444444438</v>
      </c>
      <c r="N9" s="25">
        <f t="shared" si="6"/>
        <v>0.37361111111111106</v>
      </c>
      <c r="O9" s="25">
        <v>0.36666666666666697</v>
      </c>
      <c r="P9" s="27">
        <f>N9-O9</f>
        <v>6.9444444444440867E-3</v>
      </c>
    </row>
    <row r="10" spans="1:16">
      <c r="A10" s="1">
        <v>85</v>
      </c>
      <c r="B10" s="1" t="s">
        <v>84</v>
      </c>
      <c r="C10" s="1"/>
      <c r="D10" s="2">
        <v>45875</v>
      </c>
      <c r="E10" s="3">
        <v>0.33333333333333331</v>
      </c>
      <c r="F10" s="3">
        <v>0.51875000000000004</v>
      </c>
      <c r="G10" s="3">
        <v>0.56388888888888888</v>
      </c>
      <c r="H10" s="3">
        <v>0.75</v>
      </c>
      <c r="I10" s="24">
        <v>0.18333333333333299</v>
      </c>
      <c r="J10" s="24">
        <f t="shared" si="4"/>
        <v>0.18541666666666673</v>
      </c>
      <c r="K10" s="24">
        <f>G10-F10</f>
        <v>4.513888888888884E-2</v>
      </c>
      <c r="L10" s="24">
        <v>0.266666666666666</v>
      </c>
      <c r="M10" s="25">
        <f t="shared" si="5"/>
        <v>0.18611111111111112</v>
      </c>
      <c r="N10" s="25">
        <f t="shared" si="6"/>
        <v>0.37152777777777785</v>
      </c>
      <c r="O10" s="25">
        <v>0.36666666666666664</v>
      </c>
      <c r="P10" s="27">
        <f>N10-O10</f>
        <v>4.8611111111112049E-3</v>
      </c>
    </row>
    <row r="11" spans="1:16">
      <c r="A11" s="1">
        <v>85</v>
      </c>
      <c r="B11" s="1" t="s">
        <v>84</v>
      </c>
      <c r="C11" s="1"/>
      <c r="D11" s="2">
        <v>45876</v>
      </c>
      <c r="E11" s="3">
        <v>0.33333333333333331</v>
      </c>
      <c r="F11" s="3">
        <v>0.50138888888888888</v>
      </c>
      <c r="G11" s="3">
        <v>0.55000000000000004</v>
      </c>
      <c r="H11" s="3">
        <v>0.75</v>
      </c>
      <c r="I11" s="24">
        <v>0.18333333333333299</v>
      </c>
      <c r="J11" s="24">
        <f t="shared" si="4"/>
        <v>0.16805555555555557</v>
      </c>
      <c r="K11" s="24">
        <f>G11-F11</f>
        <v>4.861111111111116E-2</v>
      </c>
      <c r="L11" s="24">
        <v>0.266666666666666</v>
      </c>
      <c r="M11" s="25">
        <f t="shared" si="5"/>
        <v>0.19999999999999996</v>
      </c>
      <c r="N11" s="25">
        <f t="shared" si="6"/>
        <v>0.36805555555555552</v>
      </c>
      <c r="O11" s="25">
        <v>0.36666666666666697</v>
      </c>
      <c r="P11" s="27">
        <f>N11-O11</f>
        <v>1.3888888888885509E-3</v>
      </c>
    </row>
    <row r="12" spans="1:16">
      <c r="A12" s="1">
        <v>85</v>
      </c>
      <c r="B12" s="1" t="s">
        <v>84</v>
      </c>
      <c r="C12" s="1"/>
      <c r="D12" s="2">
        <v>45877</v>
      </c>
      <c r="E12" s="3">
        <v>0.33333333333333331</v>
      </c>
      <c r="F12" s="3">
        <v>0.50277777777777777</v>
      </c>
      <c r="G12" s="3">
        <v>0.55069444444444449</v>
      </c>
      <c r="H12" s="3">
        <v>0.75</v>
      </c>
      <c r="I12" s="24">
        <v>0.18333333333333299</v>
      </c>
      <c r="J12" s="24">
        <f t="shared" si="4"/>
        <v>0.16944444444444445</v>
      </c>
      <c r="K12" s="24">
        <f>G12-F12</f>
        <v>4.7916666666666718E-2</v>
      </c>
      <c r="L12" s="24">
        <v>0.266666666666666</v>
      </c>
      <c r="M12" s="25">
        <f t="shared" si="5"/>
        <v>0.19930555555555551</v>
      </c>
      <c r="N12" s="25">
        <f t="shared" si="6"/>
        <v>0.36874999999999997</v>
      </c>
      <c r="O12" s="25">
        <v>0.36666666666666697</v>
      </c>
      <c r="P12" s="27">
        <f>N12-O12</f>
        <v>2.0833333333329929E-3</v>
      </c>
    </row>
    <row r="13" spans="1:16">
      <c r="A13" s="1">
        <v>85</v>
      </c>
      <c r="B13" s="1" t="s">
        <v>84</v>
      </c>
      <c r="C13" s="1"/>
      <c r="D13" s="2">
        <v>45878</v>
      </c>
      <c r="E13" s="60" t="s">
        <v>75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</row>
    <row r="14" spans="1:16">
      <c r="A14" s="1">
        <v>85</v>
      </c>
      <c r="B14" s="1" t="s">
        <v>84</v>
      </c>
      <c r="C14" s="1"/>
      <c r="D14" s="2">
        <v>45879</v>
      </c>
      <c r="E14" s="57" t="s">
        <v>67</v>
      </c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9"/>
    </row>
    <row r="15" spans="1:16">
      <c r="A15" s="1">
        <v>85</v>
      </c>
      <c r="B15" s="1" t="s">
        <v>84</v>
      </c>
      <c r="C15" s="1"/>
      <c r="D15" s="2">
        <v>45880</v>
      </c>
      <c r="E15" s="3">
        <v>0.33333333333333331</v>
      </c>
      <c r="F15" s="3">
        <v>0.50624999999999998</v>
      </c>
      <c r="G15" s="3">
        <v>0.5541666666666667</v>
      </c>
      <c r="H15" s="3">
        <v>0.75</v>
      </c>
      <c r="I15" s="24">
        <v>0.18333333333333299</v>
      </c>
      <c r="J15" s="24">
        <f t="shared" ref="J15:J19" si="8">F15-E15</f>
        <v>0.17291666666666666</v>
      </c>
      <c r="K15" s="24">
        <f>G15-F15</f>
        <v>4.7916666666666718E-2</v>
      </c>
      <c r="L15" s="24">
        <v>0.18333333333333299</v>
      </c>
      <c r="M15" s="25">
        <f t="shared" ref="M15:M19" si="9">H15-G15</f>
        <v>0.1958333333333333</v>
      </c>
      <c r="N15" s="25">
        <f t="shared" ref="N15:N19" si="10">M15+J15</f>
        <v>0.36874999999999997</v>
      </c>
      <c r="O15" s="25">
        <f t="shared" ref="O15" si="11">I15+L15</f>
        <v>0.36666666666666597</v>
      </c>
      <c r="P15" s="27">
        <f>N15-O15</f>
        <v>2.0833333333339921E-3</v>
      </c>
    </row>
    <row r="16" spans="1:16">
      <c r="A16" s="1">
        <v>85</v>
      </c>
      <c r="B16" s="1" t="s">
        <v>84</v>
      </c>
      <c r="C16" s="1"/>
      <c r="D16" s="2">
        <v>45881</v>
      </c>
      <c r="E16" s="3">
        <v>0.33333333333333331</v>
      </c>
      <c r="F16" s="3">
        <v>0.50555555555555554</v>
      </c>
      <c r="G16" s="3">
        <v>0.55555555555555558</v>
      </c>
      <c r="H16" s="3">
        <v>0.75</v>
      </c>
      <c r="I16" s="24">
        <v>0.18333333333333299</v>
      </c>
      <c r="J16" s="24">
        <f t="shared" si="8"/>
        <v>0.17222222222222222</v>
      </c>
      <c r="K16" s="24">
        <f>G16-F16</f>
        <v>5.0000000000000044E-2</v>
      </c>
      <c r="L16" s="24">
        <v>0.266666666666666</v>
      </c>
      <c r="M16" s="25">
        <f t="shared" si="9"/>
        <v>0.19444444444444442</v>
      </c>
      <c r="N16" s="25">
        <f t="shared" si="10"/>
        <v>0.36666666666666664</v>
      </c>
      <c r="O16" s="25">
        <v>0.36666666666666697</v>
      </c>
      <c r="P16" s="27">
        <f>N16-O16</f>
        <v>0</v>
      </c>
    </row>
    <row r="17" spans="1:16">
      <c r="A17" s="1">
        <v>85</v>
      </c>
      <c r="B17" s="1" t="s">
        <v>84</v>
      </c>
      <c r="C17" s="1"/>
      <c r="D17" s="2">
        <v>45882</v>
      </c>
      <c r="E17" s="3">
        <v>0.33333333333333331</v>
      </c>
      <c r="F17" s="3">
        <v>0.50069444444444444</v>
      </c>
      <c r="G17" s="3">
        <v>0.55000000000000004</v>
      </c>
      <c r="H17" s="3">
        <v>0.75</v>
      </c>
      <c r="I17" s="24">
        <v>0.18333333333333299</v>
      </c>
      <c r="J17" s="24">
        <f t="shared" si="8"/>
        <v>0.16736111111111113</v>
      </c>
      <c r="K17" s="24">
        <f>G17-F17</f>
        <v>4.9305555555555602E-2</v>
      </c>
      <c r="L17" s="24">
        <v>0.266666666666666</v>
      </c>
      <c r="M17" s="25">
        <f t="shared" si="9"/>
        <v>0.19999999999999996</v>
      </c>
      <c r="N17" s="25">
        <f t="shared" si="10"/>
        <v>0.36736111111111108</v>
      </c>
      <c r="O17" s="25">
        <v>0.36666666666666697</v>
      </c>
      <c r="P17" s="27">
        <f>N17-O17</f>
        <v>6.9444444444410891E-4</v>
      </c>
    </row>
    <row r="18" spans="1:16" ht="12.75" customHeight="1">
      <c r="A18" s="1">
        <v>85</v>
      </c>
      <c r="B18" s="1" t="s">
        <v>84</v>
      </c>
      <c r="C18" s="1"/>
      <c r="D18" s="2">
        <v>45883</v>
      </c>
      <c r="E18" s="3">
        <v>0.33333333333333331</v>
      </c>
      <c r="F18" s="3">
        <v>0.50416666666666665</v>
      </c>
      <c r="G18" s="3">
        <v>0.55277777777777781</v>
      </c>
      <c r="H18" s="3">
        <v>0.75</v>
      </c>
      <c r="I18" s="24">
        <v>0.18333333333333299</v>
      </c>
      <c r="J18" s="24">
        <f t="shared" si="8"/>
        <v>0.17083333333333334</v>
      </c>
      <c r="K18" s="24">
        <f>G18-F18</f>
        <v>4.861111111111116E-2</v>
      </c>
      <c r="L18" s="24">
        <v>0.266666666666666</v>
      </c>
      <c r="M18" s="25">
        <f t="shared" si="9"/>
        <v>0.19722222222222219</v>
      </c>
      <c r="N18" s="25">
        <f t="shared" si="10"/>
        <v>0.36805555555555552</v>
      </c>
      <c r="O18" s="25">
        <v>0.36666666666666697</v>
      </c>
      <c r="P18" s="27">
        <f>N18-O18</f>
        <v>1.3888888888885509E-3</v>
      </c>
    </row>
    <row r="19" spans="1:16" ht="12.75" customHeight="1">
      <c r="A19" s="1">
        <v>85</v>
      </c>
      <c r="B19" s="1" t="s">
        <v>84</v>
      </c>
      <c r="C19" s="1"/>
      <c r="D19" s="2">
        <v>45884</v>
      </c>
      <c r="E19" s="3">
        <v>0.33333333333333331</v>
      </c>
      <c r="F19" s="3">
        <v>0.5</v>
      </c>
      <c r="G19" s="3">
        <v>0.55000000000000004</v>
      </c>
      <c r="H19" s="3">
        <v>0.75</v>
      </c>
      <c r="I19" s="24">
        <v>0.18333333333333299</v>
      </c>
      <c r="J19" s="24">
        <f t="shared" si="8"/>
        <v>0.16666666666666669</v>
      </c>
      <c r="K19" s="24">
        <f>G19-F19</f>
        <v>5.0000000000000044E-2</v>
      </c>
      <c r="L19" s="24">
        <v>0.266666666666666</v>
      </c>
      <c r="M19" s="25">
        <f t="shared" si="9"/>
        <v>0.19999999999999996</v>
      </c>
      <c r="N19" s="25">
        <f t="shared" si="10"/>
        <v>0.36666666666666664</v>
      </c>
      <c r="O19" s="25">
        <v>0.36666666666666697</v>
      </c>
      <c r="P19" s="27">
        <f>N19-O19</f>
        <v>0</v>
      </c>
    </row>
    <row r="20" spans="1:16" ht="12.75" customHeight="1">
      <c r="A20" s="1">
        <v>85</v>
      </c>
      <c r="B20" s="1" t="s">
        <v>84</v>
      </c>
      <c r="C20" s="1"/>
      <c r="D20" s="2">
        <v>45885</v>
      </c>
      <c r="E20" s="60" t="s">
        <v>75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2"/>
    </row>
    <row r="21" spans="1:16" ht="12.75" customHeight="1">
      <c r="A21" s="1">
        <v>85</v>
      </c>
      <c r="B21" s="1" t="s">
        <v>84</v>
      </c>
      <c r="C21" s="1"/>
      <c r="D21" s="2">
        <v>45886</v>
      </c>
      <c r="E21" s="57" t="s">
        <v>67</v>
      </c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9"/>
    </row>
    <row r="22" spans="1:16" ht="12.75" customHeight="1">
      <c r="A22" s="1">
        <v>85</v>
      </c>
      <c r="B22" s="1" t="s">
        <v>84</v>
      </c>
      <c r="C22" s="1"/>
      <c r="D22" s="2">
        <v>45887</v>
      </c>
      <c r="E22" s="3">
        <v>0.33333333333333331</v>
      </c>
      <c r="F22" s="3">
        <v>0.50347222222222221</v>
      </c>
      <c r="G22" s="3">
        <v>0.55277777777777781</v>
      </c>
      <c r="H22" s="3">
        <v>0.75</v>
      </c>
      <c r="I22" s="24">
        <v>0.18333333333333299</v>
      </c>
      <c r="J22" s="24">
        <f t="shared" ref="J22:J26" si="12">F22-E22</f>
        <v>0.1701388888888889</v>
      </c>
      <c r="K22" s="24">
        <f>G22-F22</f>
        <v>4.9305555555555602E-2</v>
      </c>
      <c r="L22" s="24">
        <v>0.18333333333333299</v>
      </c>
      <c r="M22" s="25">
        <f t="shared" ref="M22:M26" si="13">H22-G22</f>
        <v>0.19722222222222219</v>
      </c>
      <c r="N22" s="25">
        <f t="shared" ref="N22:N26" si="14">M22+J22</f>
        <v>0.36736111111111108</v>
      </c>
      <c r="O22" s="25">
        <f t="shared" ref="O22" si="15">I22+L22</f>
        <v>0.36666666666666597</v>
      </c>
      <c r="P22" s="27">
        <f>N22-O22</f>
        <v>6.9444444444510811E-4</v>
      </c>
    </row>
    <row r="23" spans="1:16" ht="12.75" customHeight="1">
      <c r="A23" s="1">
        <v>85</v>
      </c>
      <c r="B23" s="1" t="s">
        <v>84</v>
      </c>
      <c r="C23" s="1"/>
      <c r="D23" s="2">
        <v>45888</v>
      </c>
      <c r="E23" s="3">
        <v>0.33333333333333331</v>
      </c>
      <c r="F23" s="3">
        <v>0.5</v>
      </c>
      <c r="G23" s="3">
        <v>0.55000000000000004</v>
      </c>
      <c r="H23" s="3">
        <v>0.75</v>
      </c>
      <c r="I23" s="24">
        <v>0.18333333333333299</v>
      </c>
      <c r="J23" s="24">
        <f t="shared" si="12"/>
        <v>0.16666666666666669</v>
      </c>
      <c r="K23" s="24">
        <f>G23-F23</f>
        <v>5.0000000000000044E-2</v>
      </c>
      <c r="L23" s="24">
        <v>0.266666666666666</v>
      </c>
      <c r="M23" s="25">
        <f t="shared" si="13"/>
        <v>0.19999999999999996</v>
      </c>
      <c r="N23" s="25">
        <f t="shared" si="14"/>
        <v>0.36666666666666664</v>
      </c>
      <c r="O23" s="25">
        <v>0.36666666666666697</v>
      </c>
      <c r="P23" s="27">
        <f>N23-O23</f>
        <v>0</v>
      </c>
    </row>
    <row r="24" spans="1:16" ht="12.75" customHeight="1">
      <c r="A24" s="1">
        <v>85</v>
      </c>
      <c r="B24" s="1" t="s">
        <v>84</v>
      </c>
      <c r="C24" s="1"/>
      <c r="D24" s="2">
        <v>45889</v>
      </c>
      <c r="E24" s="3">
        <v>0.33333333333333331</v>
      </c>
      <c r="F24" s="3">
        <v>0.50277777777777777</v>
      </c>
      <c r="G24" s="3">
        <v>0.55208333333333337</v>
      </c>
      <c r="H24" s="3">
        <v>0.75</v>
      </c>
      <c r="I24" s="24">
        <v>0.18333333333333299</v>
      </c>
      <c r="J24" s="24">
        <f t="shared" si="12"/>
        <v>0.16944444444444445</v>
      </c>
      <c r="K24" s="24">
        <f>G24-F24</f>
        <v>4.9305555555555602E-2</v>
      </c>
      <c r="L24" s="24">
        <v>0.266666666666666</v>
      </c>
      <c r="M24" s="25">
        <f t="shared" si="13"/>
        <v>0.19791666666666663</v>
      </c>
      <c r="N24" s="25">
        <f t="shared" si="14"/>
        <v>0.36736111111111108</v>
      </c>
      <c r="O24" s="25">
        <v>0.36666666666666697</v>
      </c>
      <c r="P24" s="27">
        <f>N24-O24</f>
        <v>6.9444444444410891E-4</v>
      </c>
    </row>
    <row r="25" spans="1:16" ht="12.75" customHeight="1">
      <c r="A25" s="1">
        <v>85</v>
      </c>
      <c r="B25" s="1" t="s">
        <v>84</v>
      </c>
      <c r="C25" s="1"/>
      <c r="D25" s="2">
        <v>45890</v>
      </c>
      <c r="E25" s="3">
        <v>0.33333333333333331</v>
      </c>
      <c r="F25" s="3">
        <v>0.50208333333333333</v>
      </c>
      <c r="G25" s="3">
        <v>0.55208333333333337</v>
      </c>
      <c r="H25" s="3">
        <v>0.75</v>
      </c>
      <c r="I25" s="24">
        <v>0.18333333333333299</v>
      </c>
      <c r="J25" s="24">
        <f t="shared" si="12"/>
        <v>0.16875000000000001</v>
      </c>
      <c r="K25" s="24">
        <f>G25-F25</f>
        <v>5.0000000000000044E-2</v>
      </c>
      <c r="L25" s="24">
        <v>0.266666666666666</v>
      </c>
      <c r="M25" s="25">
        <f t="shared" si="13"/>
        <v>0.19791666666666663</v>
      </c>
      <c r="N25" s="25">
        <f t="shared" si="14"/>
        <v>0.36666666666666664</v>
      </c>
      <c r="O25" s="25">
        <v>0.36666666666666697</v>
      </c>
      <c r="P25" s="27">
        <f>N25-O25</f>
        <v>0</v>
      </c>
    </row>
    <row r="26" spans="1:16" ht="12.75" customHeight="1">
      <c r="A26" s="1">
        <v>85</v>
      </c>
      <c r="B26" s="1" t="s">
        <v>84</v>
      </c>
      <c r="C26" s="1"/>
      <c r="D26" s="2">
        <v>45891</v>
      </c>
      <c r="E26" s="3">
        <v>0.33333333333333331</v>
      </c>
      <c r="F26" s="3">
        <v>0.5</v>
      </c>
      <c r="G26" s="3">
        <v>0.5493055555555556</v>
      </c>
      <c r="H26" s="37">
        <v>0.75</v>
      </c>
      <c r="I26" s="24">
        <v>0.18333333333333299</v>
      </c>
      <c r="J26" s="24">
        <f t="shared" si="12"/>
        <v>0.16666666666666669</v>
      </c>
      <c r="K26" s="24">
        <f>G26-F26</f>
        <v>4.9305555555555602E-2</v>
      </c>
      <c r="L26" s="24">
        <v>0.266666666666666</v>
      </c>
      <c r="M26" s="25">
        <f t="shared" si="13"/>
        <v>0.2006944444444444</v>
      </c>
      <c r="N26" s="25">
        <f t="shared" si="14"/>
        <v>0.36736111111111108</v>
      </c>
      <c r="O26" s="25">
        <v>0.36666666666666697</v>
      </c>
      <c r="P26" s="27">
        <f>N26-O26</f>
        <v>6.9444444444410891E-4</v>
      </c>
    </row>
    <row r="27" spans="1:16" ht="12.75" customHeight="1">
      <c r="A27" s="1">
        <v>85</v>
      </c>
      <c r="B27" s="1" t="s">
        <v>84</v>
      </c>
      <c r="C27" s="1"/>
      <c r="D27" s="2">
        <v>45892</v>
      </c>
      <c r="E27" s="60" t="s">
        <v>75</v>
      </c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2"/>
    </row>
    <row r="28" spans="1:16" ht="12.75" customHeight="1">
      <c r="A28" s="1">
        <v>85</v>
      </c>
      <c r="B28" s="1" t="s">
        <v>84</v>
      </c>
      <c r="C28" s="1"/>
      <c r="D28" s="2">
        <v>45893</v>
      </c>
      <c r="E28" s="57" t="s">
        <v>67</v>
      </c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9"/>
    </row>
    <row r="29" spans="1:16" ht="12.75" customHeight="1">
      <c r="A29" s="1">
        <v>85</v>
      </c>
      <c r="B29" s="1" t="s">
        <v>84</v>
      </c>
      <c r="C29" s="1"/>
      <c r="D29" s="2">
        <v>45894</v>
      </c>
      <c r="E29" s="3">
        <v>0.33333333333333331</v>
      </c>
      <c r="F29" s="3">
        <v>0.5</v>
      </c>
      <c r="G29" s="3">
        <v>0.5493055555555556</v>
      </c>
      <c r="H29" s="3">
        <v>0.75</v>
      </c>
      <c r="I29" s="24">
        <v>0.18333333333333299</v>
      </c>
      <c r="J29" s="24">
        <f t="shared" ref="J29:J33" si="16">F29-E29</f>
        <v>0.16666666666666669</v>
      </c>
      <c r="K29" s="24">
        <f>G29-F29</f>
        <v>4.9305555555555602E-2</v>
      </c>
      <c r="L29" s="24">
        <v>0.18333333333333299</v>
      </c>
      <c r="M29" s="25">
        <f t="shared" ref="M29:M33" si="17">H29-G29</f>
        <v>0.2006944444444444</v>
      </c>
      <c r="N29" s="25">
        <f t="shared" ref="N29:N33" si="18">M29+J29</f>
        <v>0.36736111111111108</v>
      </c>
      <c r="O29" s="25">
        <f t="shared" ref="O29" si="19">I29+L29</f>
        <v>0.36666666666666597</v>
      </c>
      <c r="P29" s="27">
        <f>N29-O29</f>
        <v>6.9444444444510811E-4</v>
      </c>
    </row>
    <row r="30" spans="1:16" ht="12.75" customHeight="1">
      <c r="A30" s="1">
        <v>85</v>
      </c>
      <c r="B30" s="1" t="s">
        <v>84</v>
      </c>
      <c r="C30" s="1"/>
      <c r="D30" s="2">
        <v>45895</v>
      </c>
      <c r="E30" s="3">
        <v>0.33333333333333331</v>
      </c>
      <c r="F30" s="3">
        <v>0.49930555555555556</v>
      </c>
      <c r="G30" s="3">
        <v>0.54861111111111116</v>
      </c>
      <c r="H30" s="3">
        <v>0.75</v>
      </c>
      <c r="I30" s="24">
        <v>0.18333333333333299</v>
      </c>
      <c r="J30" s="24">
        <f t="shared" si="16"/>
        <v>0.16597222222222224</v>
      </c>
      <c r="K30" s="24">
        <f>G30-F30</f>
        <v>4.9305555555555602E-2</v>
      </c>
      <c r="L30" s="24">
        <v>0.266666666666666</v>
      </c>
      <c r="M30" s="25">
        <f t="shared" si="17"/>
        <v>0.20138888888888884</v>
      </c>
      <c r="N30" s="25">
        <f t="shared" si="18"/>
        <v>0.36736111111111108</v>
      </c>
      <c r="O30" s="25">
        <v>0.36666666666666697</v>
      </c>
      <c r="P30" s="27">
        <f>N30-O30</f>
        <v>6.9444444444410891E-4</v>
      </c>
    </row>
    <row r="31" spans="1:16" ht="12.75" customHeight="1">
      <c r="A31" s="1">
        <v>85</v>
      </c>
      <c r="B31" s="1" t="s">
        <v>84</v>
      </c>
      <c r="C31" s="1"/>
      <c r="D31" s="2">
        <v>45896</v>
      </c>
      <c r="E31" s="3">
        <v>0.33333333333333331</v>
      </c>
      <c r="F31" s="3">
        <v>0.50069444444444444</v>
      </c>
      <c r="G31" s="3">
        <v>0.55069444444444449</v>
      </c>
      <c r="H31" s="3">
        <v>0.75</v>
      </c>
      <c r="I31" s="24">
        <v>0.18333333333333299</v>
      </c>
      <c r="J31" s="24">
        <f t="shared" si="16"/>
        <v>0.16736111111111113</v>
      </c>
      <c r="K31" s="24">
        <f>G31-F31</f>
        <v>5.0000000000000044E-2</v>
      </c>
      <c r="L31" s="24">
        <v>0.266666666666666</v>
      </c>
      <c r="M31" s="25">
        <f t="shared" si="17"/>
        <v>0.19930555555555551</v>
      </c>
      <c r="N31" s="25">
        <f t="shared" si="18"/>
        <v>0.36666666666666664</v>
      </c>
      <c r="O31" s="25">
        <v>0.36666666666666697</v>
      </c>
      <c r="P31" s="27">
        <f>N31-O31</f>
        <v>0</v>
      </c>
    </row>
    <row r="32" spans="1:16" ht="12.75" customHeight="1">
      <c r="A32" s="1">
        <v>85</v>
      </c>
      <c r="B32" s="1" t="s">
        <v>84</v>
      </c>
      <c r="C32" s="1"/>
      <c r="D32" s="2">
        <v>45897</v>
      </c>
      <c r="E32" s="3">
        <v>0.33333333333333331</v>
      </c>
      <c r="F32" s="3">
        <v>0.50069444444444444</v>
      </c>
      <c r="G32" s="3">
        <v>0.55000000000000004</v>
      </c>
      <c r="H32" s="3">
        <v>0.75</v>
      </c>
      <c r="I32" s="24">
        <v>0.18333333333333299</v>
      </c>
      <c r="J32" s="24">
        <f t="shared" si="16"/>
        <v>0.16736111111111113</v>
      </c>
      <c r="K32" s="24">
        <f>G32-F32</f>
        <v>4.9305555555555602E-2</v>
      </c>
      <c r="L32" s="24">
        <v>0.266666666666666</v>
      </c>
      <c r="M32" s="25">
        <f t="shared" si="17"/>
        <v>0.19999999999999996</v>
      </c>
      <c r="N32" s="25">
        <f t="shared" si="18"/>
        <v>0.36736111111111108</v>
      </c>
      <c r="O32" s="25">
        <v>0.36666666666666697</v>
      </c>
      <c r="P32" s="27">
        <f>N32-O32</f>
        <v>6.9444444444410891E-4</v>
      </c>
    </row>
    <row r="33" spans="1:16">
      <c r="A33" s="1">
        <v>85</v>
      </c>
      <c r="B33" s="1" t="s">
        <v>84</v>
      </c>
      <c r="C33" s="1"/>
      <c r="D33" s="2">
        <v>45898</v>
      </c>
      <c r="E33" s="3">
        <v>0.33333333333333331</v>
      </c>
      <c r="F33" s="3">
        <v>0.52222222222222225</v>
      </c>
      <c r="G33" s="3">
        <v>0.57222222222222219</v>
      </c>
      <c r="H33" s="3">
        <v>0.75</v>
      </c>
      <c r="I33" s="24">
        <v>0.18333333333333299</v>
      </c>
      <c r="J33" s="24">
        <f t="shared" si="16"/>
        <v>0.18888888888888894</v>
      </c>
      <c r="K33" s="24">
        <f>G33-F33</f>
        <v>4.9999999999999933E-2</v>
      </c>
      <c r="L33" s="24">
        <v>0.266666666666666</v>
      </c>
      <c r="M33" s="25">
        <f t="shared" si="17"/>
        <v>0.17777777777777781</v>
      </c>
      <c r="N33" s="25">
        <f t="shared" si="18"/>
        <v>0.36666666666666675</v>
      </c>
      <c r="O33" s="25">
        <v>0.36666666666666697</v>
      </c>
      <c r="P33" s="27">
        <f>N33-O33</f>
        <v>0</v>
      </c>
    </row>
    <row r="34" spans="1:16">
      <c r="A34" s="1">
        <v>85</v>
      </c>
      <c r="B34" s="1" t="s">
        <v>84</v>
      </c>
      <c r="C34" s="1"/>
      <c r="D34" s="2">
        <v>45899</v>
      </c>
      <c r="E34" s="60" t="s">
        <v>75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2"/>
    </row>
    <row r="35" spans="1:16">
      <c r="A35" s="1">
        <v>85</v>
      </c>
      <c r="B35" s="1" t="s">
        <v>84</v>
      </c>
      <c r="C35" s="1"/>
      <c r="D35" s="2">
        <v>45900</v>
      </c>
      <c r="E35" s="57" t="s">
        <v>67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9"/>
    </row>
    <row r="36" spans="1:16">
      <c r="E36" s="45"/>
      <c r="F36" s="45"/>
      <c r="G36" s="45"/>
      <c r="H36" s="45"/>
      <c r="I36" s="46"/>
      <c r="J36" s="46"/>
      <c r="K36" s="46"/>
      <c r="L36" s="46"/>
      <c r="M36" s="15"/>
      <c r="N36" s="15"/>
      <c r="O36" s="15"/>
      <c r="P36" s="15"/>
    </row>
    <row r="37" spans="1:16">
      <c r="A37" s="4"/>
      <c r="B37" s="4"/>
      <c r="C37" s="5" t="s">
        <v>60</v>
      </c>
      <c r="D37" s="21">
        <f>SUM(P5,P8,P9,P10,P11,P12,P15,P16,P17,P18,P19,P22,P23,P24,P25,P26,P29,P30,P31,P32,P33)</f>
        <v>2.5000000000000466E-2</v>
      </c>
    </row>
    <row r="38" spans="1:16">
      <c r="A38" s="4"/>
      <c r="B38" s="4"/>
      <c r="C38" s="7" t="s">
        <v>62</v>
      </c>
      <c r="D38" s="8">
        <f>P4</f>
        <v>0</v>
      </c>
      <c r="E38" s="9"/>
      <c r="F38" s="68" t="s">
        <v>61</v>
      </c>
      <c r="G38" s="68"/>
      <c r="H38" s="68"/>
      <c r="I38" s="9"/>
      <c r="J38" s="68" t="s">
        <v>68</v>
      </c>
      <c r="K38" s="68"/>
      <c r="L38" s="68"/>
      <c r="M38" s="9"/>
      <c r="N38" s="68" t="s">
        <v>69</v>
      </c>
      <c r="O38" s="68"/>
      <c r="P38" s="68"/>
    </row>
    <row r="39" spans="1:16">
      <c r="A39" s="68" t="s">
        <v>64</v>
      </c>
      <c r="B39" s="68"/>
      <c r="C39" s="10" t="s">
        <v>65</v>
      </c>
      <c r="D39" s="34">
        <v>0</v>
      </c>
      <c r="E39" s="9"/>
      <c r="F39" s="11"/>
      <c r="G39" s="67" t="s">
        <v>63</v>
      </c>
      <c r="H39" s="67"/>
      <c r="I39" s="9"/>
      <c r="J39" s="66" t="s">
        <v>70</v>
      </c>
      <c r="K39" s="66"/>
      <c r="L39" s="21">
        <v>0</v>
      </c>
      <c r="M39" s="9"/>
      <c r="N39" s="67" t="s">
        <v>77</v>
      </c>
      <c r="O39" s="67"/>
      <c r="P39" s="31">
        <f>L39</f>
        <v>0</v>
      </c>
    </row>
    <row r="40" spans="1:16">
      <c r="A40" s="13"/>
      <c r="B40" s="13"/>
      <c r="C40" s="47" t="s">
        <v>78</v>
      </c>
      <c r="D40" s="14">
        <v>0</v>
      </c>
      <c r="E40" s="15"/>
      <c r="F40" s="16"/>
      <c r="G40" s="67" t="s">
        <v>60</v>
      </c>
      <c r="H40" s="67"/>
      <c r="I40" s="9"/>
      <c r="J40" s="66" t="s">
        <v>76</v>
      </c>
      <c r="K40" s="66"/>
      <c r="L40" s="32">
        <v>2.5000000000000001E-2</v>
      </c>
      <c r="M40" s="9"/>
      <c r="N40" s="67" t="s">
        <v>82</v>
      </c>
      <c r="O40" s="67"/>
      <c r="P40" s="32">
        <v>2.5000000000000001E-2</v>
      </c>
    </row>
    <row r="41" spans="1:16">
      <c r="A41" s="9"/>
      <c r="B41" s="9"/>
      <c r="C41" s="17"/>
      <c r="D41" s="18"/>
      <c r="E41" s="9"/>
      <c r="F41" s="19"/>
      <c r="G41" s="12" t="s">
        <v>65</v>
      </c>
      <c r="H41" s="12"/>
      <c r="I41" s="9"/>
      <c r="J41" s="63" t="s">
        <v>81</v>
      </c>
      <c r="K41" s="64"/>
      <c r="L41" s="14">
        <v>0</v>
      </c>
      <c r="M41" s="9"/>
      <c r="N41" s="65" t="s">
        <v>72</v>
      </c>
      <c r="O41" s="65"/>
      <c r="P41" s="21">
        <f>P40-P39</f>
        <v>2.5000000000000001E-2</v>
      </c>
    </row>
    <row r="42" spans="1:16">
      <c r="A42" s="9"/>
      <c r="B42" s="9"/>
      <c r="C42" s="20" t="s">
        <v>66</v>
      </c>
      <c r="D42" s="32">
        <f>SUM(-D39,D37)</f>
        <v>2.5000000000000466E-2</v>
      </c>
      <c r="E42" s="9"/>
      <c r="F42" s="22"/>
      <c r="G42" s="12" t="s">
        <v>79</v>
      </c>
      <c r="H42" s="12"/>
      <c r="I42" s="9"/>
      <c r="J42" s="66"/>
      <c r="K42" s="66"/>
      <c r="L42" s="28">
        <v>0</v>
      </c>
      <c r="M42" s="9"/>
      <c r="N42" s="67" t="s">
        <v>73</v>
      </c>
      <c r="O42" s="67"/>
      <c r="P42" s="29">
        <v>0</v>
      </c>
    </row>
    <row r="43" spans="1:16">
      <c r="E43" s="9"/>
      <c r="F43" s="23"/>
      <c r="G43" s="67" t="s">
        <v>71</v>
      </c>
      <c r="H43" s="67"/>
      <c r="I43" s="9"/>
      <c r="J43" s="65"/>
      <c r="K43" s="65"/>
      <c r="L43" s="30">
        <v>0</v>
      </c>
      <c r="M43" s="9"/>
      <c r="N43" s="65" t="s">
        <v>74</v>
      </c>
      <c r="O43" s="65"/>
      <c r="P43" s="21">
        <f>P41</f>
        <v>2.5000000000000001E-2</v>
      </c>
    </row>
    <row r="45" spans="1:16">
      <c r="J45" s="53" t="s">
        <v>80</v>
      </c>
      <c r="K45" s="53"/>
    </row>
    <row r="46" spans="1:16">
      <c r="J46" s="53"/>
      <c r="K46" s="53"/>
    </row>
  </sheetData>
  <mergeCells count="45">
    <mergeCell ref="J45:K46"/>
    <mergeCell ref="E6:P6"/>
    <mergeCell ref="E7:P7"/>
    <mergeCell ref="E13:P13"/>
    <mergeCell ref="E14:P14"/>
    <mergeCell ref="E20:P20"/>
    <mergeCell ref="E21:P21"/>
    <mergeCell ref="E27:P27"/>
    <mergeCell ref="E28:P28"/>
    <mergeCell ref="E34:P34"/>
    <mergeCell ref="J41:K41"/>
    <mergeCell ref="N41:O41"/>
    <mergeCell ref="J42:K42"/>
    <mergeCell ref="N42:O42"/>
    <mergeCell ref="G43:H43"/>
    <mergeCell ref="J43:K43"/>
    <mergeCell ref="N43:O43"/>
    <mergeCell ref="A39:B39"/>
    <mergeCell ref="G39:H39"/>
    <mergeCell ref="J39:K39"/>
    <mergeCell ref="N39:O39"/>
    <mergeCell ref="G40:H40"/>
    <mergeCell ref="J40:K40"/>
    <mergeCell ref="N40:O40"/>
    <mergeCell ref="F38:H38"/>
    <mergeCell ref="J38:L38"/>
    <mergeCell ref="N38:P38"/>
    <mergeCell ref="E35:P35"/>
    <mergeCell ref="J3:J4"/>
    <mergeCell ref="K3:K4"/>
    <mergeCell ref="L3:L4"/>
    <mergeCell ref="M3:M4"/>
    <mergeCell ref="N3:N4"/>
    <mergeCell ref="O3:O4"/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  <mergeCell ref="P3:P4"/>
  </mergeCells>
  <pageMargins left="0.51181102362204722" right="0.51181102362204722" top="0.78740157480314965" bottom="0.78740157480314965" header="0.31496062992125984" footer="0.31496062992125984"/>
  <pageSetup paperSize="9" scale="77" orientation="landscape" horizontalDpi="4294967292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2991-108D-4C51-9FCC-771EE08E76EB}">
  <sheetPr>
    <pageSetUpPr fitToPage="1"/>
  </sheetPr>
  <dimension ref="A1:P45"/>
  <sheetViews>
    <sheetView topLeftCell="A11" workbookViewId="0">
      <selection activeCell="M52" sqref="M52"/>
    </sheetView>
  </sheetViews>
  <sheetFormatPr defaultRowHeight="12.75"/>
  <cols>
    <col min="2" max="2" width="10.5703125" customWidth="1"/>
    <col min="3" max="3" width="17.140625" customWidth="1"/>
    <col min="4" max="4" width="12.42578125" customWidth="1"/>
    <col min="15" max="15" width="11.140625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85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45901</v>
      </c>
      <c r="E5" s="3">
        <v>0.33333333333333331</v>
      </c>
      <c r="F5" s="3">
        <v>0.50208333333333333</v>
      </c>
      <c r="G5" s="3">
        <v>0.55069444444444449</v>
      </c>
      <c r="H5" s="3">
        <v>0.75</v>
      </c>
      <c r="I5" s="24">
        <v>0.18333333333333299</v>
      </c>
      <c r="J5" s="24">
        <f t="shared" ref="J5:J9" si="0">F5-E5</f>
        <v>0.16875000000000001</v>
      </c>
      <c r="K5" s="48">
        <f>G5-F5</f>
        <v>4.861111111111116E-2</v>
      </c>
      <c r="L5" s="24">
        <v>0.18333333333333299</v>
      </c>
      <c r="M5" s="25">
        <f t="shared" ref="M5:M9" si="1">H5-G5</f>
        <v>0.19930555555555551</v>
      </c>
      <c r="N5" s="25">
        <f t="shared" ref="N5:N9" si="2">M5+J5</f>
        <v>0.36805555555555552</v>
      </c>
      <c r="O5" s="25">
        <f t="shared" ref="O5" si="3">I5+L5</f>
        <v>0.36666666666666597</v>
      </c>
      <c r="P5" s="27">
        <f>N5-O5</f>
        <v>1.3888888888895501E-3</v>
      </c>
    </row>
    <row r="6" spans="1:16">
      <c r="A6" s="1">
        <v>85</v>
      </c>
      <c r="B6" s="1" t="s">
        <v>84</v>
      </c>
      <c r="C6" s="1"/>
      <c r="D6" s="2">
        <v>45902</v>
      </c>
      <c r="E6" s="3">
        <v>0.33333333333333331</v>
      </c>
      <c r="F6" s="3">
        <v>0.50069444444444444</v>
      </c>
      <c r="G6" s="3">
        <v>0.55000000000000004</v>
      </c>
      <c r="H6" s="3">
        <v>0.75</v>
      </c>
      <c r="I6" s="24">
        <v>0.18333333333333299</v>
      </c>
      <c r="J6" s="24">
        <f t="shared" si="0"/>
        <v>0.16736111111111113</v>
      </c>
      <c r="K6" s="48">
        <f>G6-F6</f>
        <v>4.9305555555555602E-2</v>
      </c>
      <c r="L6" s="24">
        <v>0.266666666666666</v>
      </c>
      <c r="M6" s="25">
        <f t="shared" si="1"/>
        <v>0.19999999999999996</v>
      </c>
      <c r="N6" s="25">
        <f t="shared" si="2"/>
        <v>0.36736111111111108</v>
      </c>
      <c r="O6" s="25">
        <v>0.36666666666666697</v>
      </c>
      <c r="P6" s="27">
        <f>N6-O6</f>
        <v>6.9444444444410891E-4</v>
      </c>
    </row>
    <row r="7" spans="1:16">
      <c r="A7" s="1">
        <v>85</v>
      </c>
      <c r="B7" s="1" t="s">
        <v>84</v>
      </c>
      <c r="C7" s="1"/>
      <c r="D7" s="2">
        <v>45903</v>
      </c>
      <c r="E7" s="3">
        <v>0.33333333333333331</v>
      </c>
      <c r="F7" s="3">
        <v>0.50069444444444444</v>
      </c>
      <c r="G7" s="3">
        <v>0.5493055555555556</v>
      </c>
      <c r="H7" s="3">
        <v>0.75</v>
      </c>
      <c r="I7" s="24">
        <v>0.18333333333333299</v>
      </c>
      <c r="J7" s="24">
        <f t="shared" si="0"/>
        <v>0.16736111111111113</v>
      </c>
      <c r="K7" s="48">
        <f>G7-F7</f>
        <v>4.861111111111116E-2</v>
      </c>
      <c r="L7" s="24">
        <v>0.266666666666666</v>
      </c>
      <c r="M7" s="25">
        <f t="shared" si="1"/>
        <v>0.2006944444444444</v>
      </c>
      <c r="N7" s="25">
        <f t="shared" si="2"/>
        <v>0.36805555555555552</v>
      </c>
      <c r="O7" s="25">
        <v>0.36666666666666697</v>
      </c>
      <c r="P7" s="27">
        <f>N7-O7</f>
        <v>1.3888888888885509E-3</v>
      </c>
    </row>
    <row r="8" spans="1:16">
      <c r="A8" s="1">
        <v>85</v>
      </c>
      <c r="B8" s="1" t="s">
        <v>84</v>
      </c>
      <c r="C8" s="1"/>
      <c r="D8" s="2">
        <v>45904</v>
      </c>
      <c r="E8" s="3">
        <v>0.33333333333333331</v>
      </c>
      <c r="F8" s="3">
        <v>0.51527777777777772</v>
      </c>
      <c r="G8" s="3">
        <v>0.56041666666666667</v>
      </c>
      <c r="H8" s="3">
        <v>0.75</v>
      </c>
      <c r="I8" s="24">
        <v>0.18333333333333299</v>
      </c>
      <c r="J8" s="24">
        <f t="shared" si="0"/>
        <v>0.18194444444444441</v>
      </c>
      <c r="K8" s="48">
        <f>G8-F8</f>
        <v>4.5138888888888951E-2</v>
      </c>
      <c r="L8" s="24">
        <v>0.266666666666666</v>
      </c>
      <c r="M8" s="25">
        <f t="shared" si="1"/>
        <v>0.18958333333333333</v>
      </c>
      <c r="N8" s="25">
        <f t="shared" si="2"/>
        <v>0.37152777777777773</v>
      </c>
      <c r="O8" s="25">
        <v>0.36666666666666697</v>
      </c>
      <c r="P8" s="27">
        <f>N8-O8</f>
        <v>4.8611111111107608E-3</v>
      </c>
    </row>
    <row r="9" spans="1:16">
      <c r="A9" s="1">
        <v>85</v>
      </c>
      <c r="B9" s="1" t="s">
        <v>84</v>
      </c>
      <c r="C9" s="1"/>
      <c r="D9" s="2">
        <v>45905</v>
      </c>
      <c r="E9" s="3">
        <v>0.33333333333333331</v>
      </c>
      <c r="F9" s="3">
        <v>0.5</v>
      </c>
      <c r="G9" s="3">
        <v>0.5493055555555556</v>
      </c>
      <c r="H9" s="37">
        <v>0.75</v>
      </c>
      <c r="I9" s="24">
        <v>0.18333333333333299</v>
      </c>
      <c r="J9" s="24">
        <f t="shared" si="0"/>
        <v>0.16666666666666669</v>
      </c>
      <c r="K9" s="48">
        <f>G9-F9</f>
        <v>4.9305555555555602E-2</v>
      </c>
      <c r="L9" s="24">
        <v>0.266666666666666</v>
      </c>
      <c r="M9" s="25">
        <f t="shared" si="1"/>
        <v>0.2006944444444444</v>
      </c>
      <c r="N9" s="25">
        <f t="shared" si="2"/>
        <v>0.36736111111111108</v>
      </c>
      <c r="O9" s="25">
        <v>0.36666666666666697</v>
      </c>
      <c r="P9" s="27">
        <f>N9-O9</f>
        <v>6.9444444444410891E-4</v>
      </c>
    </row>
    <row r="10" spans="1:16">
      <c r="A10" s="1">
        <v>85</v>
      </c>
      <c r="B10" s="1" t="s">
        <v>84</v>
      </c>
      <c r="C10" s="1"/>
      <c r="D10" s="2">
        <v>45906</v>
      </c>
      <c r="E10" s="60" t="s">
        <v>75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2"/>
    </row>
    <row r="11" spans="1:16">
      <c r="A11" s="1">
        <v>85</v>
      </c>
      <c r="B11" s="1" t="s">
        <v>84</v>
      </c>
      <c r="C11" s="1"/>
      <c r="D11" s="2">
        <v>45907</v>
      </c>
      <c r="E11" s="57" t="s">
        <v>67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9"/>
    </row>
    <row r="12" spans="1:16">
      <c r="A12" s="1">
        <v>85</v>
      </c>
      <c r="B12" s="1" t="s">
        <v>84</v>
      </c>
      <c r="C12" s="1"/>
      <c r="D12" s="2">
        <v>45908</v>
      </c>
      <c r="E12" s="3">
        <v>0.33333333333333331</v>
      </c>
      <c r="F12" s="3">
        <v>0.50694444444444442</v>
      </c>
      <c r="G12" s="3">
        <v>0.55486111111111114</v>
      </c>
      <c r="H12" s="3">
        <v>0.75</v>
      </c>
      <c r="I12" s="24">
        <v>0.18333333333333299</v>
      </c>
      <c r="J12" s="24">
        <f t="shared" ref="J12:J16" si="4">F12-E12</f>
        <v>0.1736111111111111</v>
      </c>
      <c r="K12" s="48">
        <f>G12-F12</f>
        <v>4.7916666666666718E-2</v>
      </c>
      <c r="L12" s="24">
        <v>0.18333333333333299</v>
      </c>
      <c r="M12" s="25">
        <f t="shared" ref="M12:M16" si="5">H12-G12</f>
        <v>0.19513888888888886</v>
      </c>
      <c r="N12" s="25">
        <f t="shared" ref="N12:N16" si="6">M12+J12</f>
        <v>0.36874999999999997</v>
      </c>
      <c r="O12" s="25">
        <v>0.36666666666666697</v>
      </c>
      <c r="P12" s="49">
        <f>N12-O12</f>
        <v>2.0833333333329929E-3</v>
      </c>
    </row>
    <row r="13" spans="1:16">
      <c r="A13" s="1">
        <v>85</v>
      </c>
      <c r="B13" s="1" t="s">
        <v>84</v>
      </c>
      <c r="C13" s="1"/>
      <c r="D13" s="2">
        <v>45909</v>
      </c>
      <c r="E13" s="3">
        <v>0.33333333333333331</v>
      </c>
      <c r="F13" s="3">
        <v>0.5</v>
      </c>
      <c r="G13" s="3">
        <v>0.5493055555555556</v>
      </c>
      <c r="H13" s="3">
        <v>0.75</v>
      </c>
      <c r="I13" s="24">
        <v>0.18333333333333299</v>
      </c>
      <c r="J13" s="24">
        <f t="shared" si="4"/>
        <v>0.16666666666666669</v>
      </c>
      <c r="K13" s="48">
        <f>G13-F13</f>
        <v>4.9305555555555602E-2</v>
      </c>
      <c r="L13" s="24">
        <v>0.266666666666666</v>
      </c>
      <c r="M13" s="25">
        <f t="shared" si="5"/>
        <v>0.2006944444444444</v>
      </c>
      <c r="N13" s="25">
        <f t="shared" si="6"/>
        <v>0.36736111111111108</v>
      </c>
      <c r="O13" s="25">
        <v>0.36666666666666697</v>
      </c>
      <c r="P13" s="27">
        <f>N13-O13</f>
        <v>6.9444444444410891E-4</v>
      </c>
    </row>
    <row r="14" spans="1:16">
      <c r="A14" s="1">
        <v>85</v>
      </c>
      <c r="B14" s="1" t="s">
        <v>84</v>
      </c>
      <c r="C14" s="1"/>
      <c r="D14" s="2">
        <v>45910</v>
      </c>
      <c r="E14" s="3">
        <v>0.33333333333333331</v>
      </c>
      <c r="F14" s="3">
        <v>0.50763888888888886</v>
      </c>
      <c r="G14" s="3">
        <v>0.55625000000000002</v>
      </c>
      <c r="H14" s="3">
        <v>0.75</v>
      </c>
      <c r="I14" s="24">
        <v>0.18333333333333299</v>
      </c>
      <c r="J14" s="24">
        <f t="shared" si="4"/>
        <v>0.17430555555555555</v>
      </c>
      <c r="K14" s="48">
        <f>G14-F14</f>
        <v>4.861111111111116E-2</v>
      </c>
      <c r="L14" s="24">
        <v>0.266666666666666</v>
      </c>
      <c r="M14" s="25">
        <f t="shared" si="5"/>
        <v>0.19374999999999998</v>
      </c>
      <c r="N14" s="25">
        <f t="shared" si="6"/>
        <v>0.36805555555555552</v>
      </c>
      <c r="O14" s="25">
        <v>0.36666666666666697</v>
      </c>
      <c r="P14" s="27">
        <f>N14-O14</f>
        <v>1.3888888888885509E-3</v>
      </c>
    </row>
    <row r="15" spans="1:16">
      <c r="A15" s="1">
        <v>85</v>
      </c>
      <c r="B15" s="1" t="s">
        <v>84</v>
      </c>
      <c r="C15" s="1"/>
      <c r="D15" s="2">
        <v>45911</v>
      </c>
      <c r="E15" s="3">
        <v>0.33333333333333331</v>
      </c>
      <c r="F15" s="3">
        <v>0.5131944444444444</v>
      </c>
      <c r="G15" s="3">
        <v>0.5625</v>
      </c>
      <c r="H15" s="3">
        <v>0.75</v>
      </c>
      <c r="I15" s="24">
        <v>0.18333333333333299</v>
      </c>
      <c r="J15" s="24">
        <f t="shared" si="4"/>
        <v>0.17986111111111108</v>
      </c>
      <c r="K15" s="48">
        <f>G15-F15</f>
        <v>4.9305555555555602E-2</v>
      </c>
      <c r="L15" s="24">
        <v>0.266666666666666</v>
      </c>
      <c r="M15" s="25">
        <f t="shared" si="5"/>
        <v>0.1875</v>
      </c>
      <c r="N15" s="25">
        <f t="shared" si="6"/>
        <v>0.36736111111111108</v>
      </c>
      <c r="O15" s="25">
        <v>0.36666666666666697</v>
      </c>
      <c r="P15" s="27">
        <f>N15-O15</f>
        <v>6.9444444444410891E-4</v>
      </c>
    </row>
    <row r="16" spans="1:16">
      <c r="A16" s="1">
        <v>85</v>
      </c>
      <c r="B16" s="1" t="s">
        <v>84</v>
      </c>
      <c r="C16" s="1"/>
      <c r="D16" s="2">
        <v>45912</v>
      </c>
      <c r="E16" s="3">
        <v>0.33333333333333331</v>
      </c>
      <c r="F16" s="3">
        <v>0.51180555555555551</v>
      </c>
      <c r="G16" s="3">
        <v>0.56111111111111112</v>
      </c>
      <c r="H16" s="3">
        <v>0.75</v>
      </c>
      <c r="I16" s="24">
        <v>0.18333333333333299</v>
      </c>
      <c r="J16" s="24">
        <f t="shared" si="4"/>
        <v>0.1784722222222222</v>
      </c>
      <c r="K16" s="48">
        <f>G16-F16</f>
        <v>4.9305555555555602E-2</v>
      </c>
      <c r="L16" s="24">
        <v>0.266666666666666</v>
      </c>
      <c r="M16" s="25">
        <f t="shared" si="5"/>
        <v>0.18888888888888888</v>
      </c>
      <c r="N16" s="25">
        <f t="shared" si="6"/>
        <v>0.36736111111111108</v>
      </c>
      <c r="O16" s="25">
        <v>0.36666666666666697</v>
      </c>
      <c r="P16" s="27">
        <f>N16-O16</f>
        <v>6.9444444444410891E-4</v>
      </c>
    </row>
    <row r="17" spans="1:16">
      <c r="A17" s="1">
        <v>85</v>
      </c>
      <c r="B17" s="1" t="s">
        <v>84</v>
      </c>
      <c r="C17" s="1"/>
      <c r="D17" s="2">
        <v>45913</v>
      </c>
      <c r="E17" s="60" t="s">
        <v>75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2"/>
    </row>
    <row r="18" spans="1:16">
      <c r="A18" s="1">
        <v>85</v>
      </c>
      <c r="B18" s="1" t="s">
        <v>84</v>
      </c>
      <c r="C18" s="1"/>
      <c r="D18" s="2">
        <v>45914</v>
      </c>
      <c r="E18" s="57" t="s">
        <v>67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9"/>
    </row>
    <row r="19" spans="1:16">
      <c r="A19" s="1">
        <v>85</v>
      </c>
      <c r="B19" s="1" t="s">
        <v>84</v>
      </c>
      <c r="C19" s="1"/>
      <c r="D19" s="2">
        <v>45915</v>
      </c>
      <c r="E19" s="3">
        <v>0.33333333333333331</v>
      </c>
      <c r="F19" s="3">
        <v>0.5</v>
      </c>
      <c r="G19" s="3">
        <v>0.55000000000000004</v>
      </c>
      <c r="H19" s="37">
        <v>0.75</v>
      </c>
      <c r="I19" s="24">
        <v>0.18333333333333299</v>
      </c>
      <c r="J19" s="24">
        <f t="shared" ref="J19:J23" si="7">F19-E19</f>
        <v>0.16666666666666669</v>
      </c>
      <c r="K19" s="48">
        <f>G19-F19</f>
        <v>5.0000000000000044E-2</v>
      </c>
      <c r="L19" s="24">
        <v>0.18333333333333299</v>
      </c>
      <c r="M19" s="25">
        <f t="shared" ref="M19:M23" si="8">H19-G19</f>
        <v>0.19999999999999996</v>
      </c>
      <c r="N19" s="25">
        <f t="shared" ref="N19:N23" si="9">M19+J19</f>
        <v>0.36666666666666664</v>
      </c>
      <c r="O19" s="25">
        <f t="shared" ref="O19" si="10">I19+L19</f>
        <v>0.36666666666666597</v>
      </c>
      <c r="P19" s="27">
        <f>N19-O19</f>
        <v>6.6613381477509392E-16</v>
      </c>
    </row>
    <row r="20" spans="1:16">
      <c r="A20" s="1">
        <v>85</v>
      </c>
      <c r="B20" s="1" t="s">
        <v>84</v>
      </c>
      <c r="C20" s="1"/>
      <c r="D20" s="2">
        <v>45916</v>
      </c>
      <c r="E20" s="3">
        <v>0.33333333333333331</v>
      </c>
      <c r="F20" s="3">
        <v>0.5</v>
      </c>
      <c r="G20" s="3">
        <v>0.55000000000000004</v>
      </c>
      <c r="H20" s="3">
        <v>0.75</v>
      </c>
      <c r="I20" s="24">
        <v>0.18333333333333299</v>
      </c>
      <c r="J20" s="24">
        <f t="shared" si="7"/>
        <v>0.16666666666666669</v>
      </c>
      <c r="K20" s="48">
        <f>G20-F20</f>
        <v>5.0000000000000044E-2</v>
      </c>
      <c r="L20" s="24">
        <v>0.266666666666666</v>
      </c>
      <c r="M20" s="25">
        <f t="shared" si="8"/>
        <v>0.19999999999999996</v>
      </c>
      <c r="N20" s="25">
        <f t="shared" si="9"/>
        <v>0.36666666666666664</v>
      </c>
      <c r="O20" s="25">
        <v>0.36666666666666697</v>
      </c>
      <c r="P20" s="27">
        <f>N20-O20</f>
        <v>0</v>
      </c>
    </row>
    <row r="21" spans="1:16">
      <c r="A21" s="1">
        <v>85</v>
      </c>
      <c r="B21" s="1" t="s">
        <v>84</v>
      </c>
      <c r="C21" s="1"/>
      <c r="D21" s="2">
        <v>45917</v>
      </c>
      <c r="E21" s="3">
        <v>0.33333333333333331</v>
      </c>
      <c r="F21" s="3">
        <v>0.50347222222222221</v>
      </c>
      <c r="G21" s="3">
        <v>0.55347222222222225</v>
      </c>
      <c r="H21" s="3">
        <v>0.75</v>
      </c>
      <c r="I21" s="24">
        <v>0.18333333333333299</v>
      </c>
      <c r="J21" s="24">
        <f t="shared" si="7"/>
        <v>0.1701388888888889</v>
      </c>
      <c r="K21" s="48">
        <f>G21-F21</f>
        <v>5.0000000000000044E-2</v>
      </c>
      <c r="L21" s="24">
        <v>0.266666666666666</v>
      </c>
      <c r="M21" s="25">
        <f t="shared" si="8"/>
        <v>0.19652777777777775</v>
      </c>
      <c r="N21" s="25">
        <f t="shared" si="9"/>
        <v>0.36666666666666664</v>
      </c>
      <c r="O21" s="25">
        <v>0.36666666666666697</v>
      </c>
      <c r="P21" s="27">
        <f>N21-O21</f>
        <v>0</v>
      </c>
    </row>
    <row r="22" spans="1:16">
      <c r="A22" s="1">
        <v>85</v>
      </c>
      <c r="B22" s="1" t="s">
        <v>84</v>
      </c>
      <c r="C22" s="1"/>
      <c r="D22" s="2">
        <v>45918</v>
      </c>
      <c r="E22" s="3">
        <v>0.33333333333333331</v>
      </c>
      <c r="F22" s="3">
        <v>0.5</v>
      </c>
      <c r="G22" s="3">
        <v>0.55000000000000004</v>
      </c>
      <c r="H22" s="3">
        <v>0.75</v>
      </c>
      <c r="I22" s="24">
        <v>0.18333333333333299</v>
      </c>
      <c r="J22" s="24">
        <f t="shared" si="7"/>
        <v>0.16666666666666669</v>
      </c>
      <c r="K22" s="48">
        <f>G22-F22</f>
        <v>5.0000000000000044E-2</v>
      </c>
      <c r="L22" s="24">
        <v>0.266666666666666</v>
      </c>
      <c r="M22" s="25">
        <f t="shared" si="8"/>
        <v>0.19999999999999996</v>
      </c>
      <c r="N22" s="25">
        <f t="shared" si="9"/>
        <v>0.36666666666666664</v>
      </c>
      <c r="O22" s="25">
        <v>0.36666666666666697</v>
      </c>
      <c r="P22" s="27">
        <f>N22-O22</f>
        <v>0</v>
      </c>
    </row>
    <row r="23" spans="1:16">
      <c r="A23" s="1">
        <v>85</v>
      </c>
      <c r="B23" s="1" t="s">
        <v>84</v>
      </c>
      <c r="C23" s="1"/>
      <c r="D23" s="2">
        <v>45919</v>
      </c>
      <c r="E23" s="3">
        <v>0.33333333333333331</v>
      </c>
      <c r="F23" s="3">
        <v>0.50555555555555554</v>
      </c>
      <c r="G23" s="3">
        <v>0.55486111111111114</v>
      </c>
      <c r="H23" s="3">
        <v>0.75694444444444442</v>
      </c>
      <c r="I23" s="24">
        <v>0.18333333333333299</v>
      </c>
      <c r="J23" s="24">
        <f t="shared" si="7"/>
        <v>0.17222222222222222</v>
      </c>
      <c r="K23" s="48">
        <f>G23-F23</f>
        <v>4.9305555555555602E-2</v>
      </c>
      <c r="L23" s="24">
        <v>0.266666666666666</v>
      </c>
      <c r="M23" s="25">
        <f t="shared" si="8"/>
        <v>0.20208333333333328</v>
      </c>
      <c r="N23" s="25">
        <f t="shared" si="9"/>
        <v>0.3743055555555555</v>
      </c>
      <c r="O23" s="25">
        <v>0.36666666666666697</v>
      </c>
      <c r="P23" s="27">
        <f>N23-O23</f>
        <v>7.6388888888885287E-3</v>
      </c>
    </row>
    <row r="24" spans="1:16">
      <c r="A24" s="1">
        <v>85</v>
      </c>
      <c r="B24" s="1" t="s">
        <v>84</v>
      </c>
      <c r="C24" s="1"/>
      <c r="D24" s="2">
        <v>45920</v>
      </c>
      <c r="E24" s="60" t="s">
        <v>75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2"/>
    </row>
    <row r="25" spans="1:16">
      <c r="A25" s="1">
        <v>85</v>
      </c>
      <c r="B25" s="1" t="s">
        <v>84</v>
      </c>
      <c r="C25" s="1"/>
      <c r="D25" s="2">
        <v>45921</v>
      </c>
      <c r="E25" s="57" t="s">
        <v>67</v>
      </c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9"/>
    </row>
    <row r="26" spans="1:16">
      <c r="A26" s="1">
        <v>85</v>
      </c>
      <c r="B26" s="1" t="s">
        <v>84</v>
      </c>
      <c r="C26" s="1"/>
      <c r="D26" s="2">
        <v>45922</v>
      </c>
      <c r="E26" s="3">
        <v>0.33333333333333331</v>
      </c>
      <c r="F26" s="3">
        <v>0.50069444444444444</v>
      </c>
      <c r="G26" s="3">
        <v>0.5493055555555556</v>
      </c>
      <c r="H26" s="37">
        <v>0.75</v>
      </c>
      <c r="I26" s="24">
        <v>0.18333333333333299</v>
      </c>
      <c r="J26" s="24">
        <f t="shared" ref="J26:J30" si="11">F26-E26</f>
        <v>0.16736111111111113</v>
      </c>
      <c r="K26" s="48">
        <f>G26-F26</f>
        <v>4.861111111111116E-2</v>
      </c>
      <c r="L26" s="24">
        <v>0.18333333333333299</v>
      </c>
      <c r="M26" s="25">
        <f t="shared" ref="M26:M30" si="12">H26-G26</f>
        <v>0.2006944444444444</v>
      </c>
      <c r="N26" s="25">
        <f t="shared" ref="N26:N30" si="13">M26+J26</f>
        <v>0.36805555555555552</v>
      </c>
      <c r="O26" s="25">
        <f t="shared" ref="O26" si="14">I26+L26</f>
        <v>0.36666666666666597</v>
      </c>
      <c r="P26" s="27">
        <f>N26-O26</f>
        <v>1.3888888888895501E-3</v>
      </c>
    </row>
    <row r="27" spans="1:16">
      <c r="A27" s="1">
        <v>85</v>
      </c>
      <c r="B27" s="1" t="s">
        <v>84</v>
      </c>
      <c r="C27" s="1"/>
      <c r="D27" s="2">
        <v>45923</v>
      </c>
      <c r="E27" s="3">
        <v>0.33333333333333331</v>
      </c>
      <c r="F27" s="3">
        <v>0.5131944444444444</v>
      </c>
      <c r="G27" s="3">
        <v>0.56319444444444444</v>
      </c>
      <c r="H27" s="3">
        <v>0.75</v>
      </c>
      <c r="I27" s="24">
        <v>0.18333333333333299</v>
      </c>
      <c r="J27" s="24">
        <f t="shared" si="11"/>
        <v>0.17986111111111108</v>
      </c>
      <c r="K27" s="48">
        <f>G27-F27</f>
        <v>5.0000000000000044E-2</v>
      </c>
      <c r="L27" s="24">
        <v>0.266666666666666</v>
      </c>
      <c r="M27" s="25">
        <f t="shared" si="12"/>
        <v>0.18680555555555556</v>
      </c>
      <c r="N27" s="25">
        <f t="shared" si="13"/>
        <v>0.36666666666666664</v>
      </c>
      <c r="O27" s="25">
        <v>0.36666666666666697</v>
      </c>
      <c r="P27" s="27">
        <f>N27-O27</f>
        <v>0</v>
      </c>
    </row>
    <row r="28" spans="1:16">
      <c r="A28" s="1">
        <v>85</v>
      </c>
      <c r="B28" s="1" t="s">
        <v>84</v>
      </c>
      <c r="C28" s="1"/>
      <c r="D28" s="2">
        <v>45924</v>
      </c>
      <c r="E28" s="3">
        <v>0.33333333333333331</v>
      </c>
      <c r="F28" s="3">
        <v>0.50555555555555554</v>
      </c>
      <c r="G28" s="3">
        <v>0.55486111111111114</v>
      </c>
      <c r="H28" s="3">
        <v>0.75</v>
      </c>
      <c r="I28" s="24">
        <v>0.18333333333333299</v>
      </c>
      <c r="J28" s="24">
        <f t="shared" si="11"/>
        <v>0.17222222222222222</v>
      </c>
      <c r="K28" s="48">
        <f>G28-F28</f>
        <v>4.9305555555555602E-2</v>
      </c>
      <c r="L28" s="24">
        <v>0.266666666666666</v>
      </c>
      <c r="M28" s="25">
        <f t="shared" si="12"/>
        <v>0.19513888888888886</v>
      </c>
      <c r="N28" s="25">
        <f t="shared" si="13"/>
        <v>0.36736111111111108</v>
      </c>
      <c r="O28" s="25">
        <v>0.36666666666666697</v>
      </c>
      <c r="P28" s="27">
        <f>N28-O28</f>
        <v>6.9444444444410891E-4</v>
      </c>
    </row>
    <row r="29" spans="1:16">
      <c r="A29" s="1">
        <v>85</v>
      </c>
      <c r="B29" s="1" t="s">
        <v>84</v>
      </c>
      <c r="C29" s="1"/>
      <c r="D29" s="2">
        <v>45925</v>
      </c>
      <c r="E29" s="3">
        <v>0.33333333333333331</v>
      </c>
      <c r="F29" s="3">
        <v>0.5083333333333333</v>
      </c>
      <c r="G29" s="3">
        <v>0.55763888888888891</v>
      </c>
      <c r="H29" s="3">
        <v>0.75</v>
      </c>
      <c r="I29" s="24">
        <v>0.18333333333333299</v>
      </c>
      <c r="J29" s="24">
        <f t="shared" si="11"/>
        <v>0.17499999999999999</v>
      </c>
      <c r="K29" s="48">
        <f>G29-F29</f>
        <v>4.9305555555555602E-2</v>
      </c>
      <c r="L29" s="24">
        <v>0.266666666666666</v>
      </c>
      <c r="M29" s="25">
        <f t="shared" si="12"/>
        <v>0.19236111111111109</v>
      </c>
      <c r="N29" s="25">
        <f t="shared" si="13"/>
        <v>0.36736111111111108</v>
      </c>
      <c r="O29" s="25">
        <v>0.36666666666666697</v>
      </c>
      <c r="P29" s="27">
        <f>N29-O29</f>
        <v>6.9444444444410891E-4</v>
      </c>
    </row>
    <row r="30" spans="1:16">
      <c r="A30" s="1">
        <v>85</v>
      </c>
      <c r="B30" s="1" t="s">
        <v>84</v>
      </c>
      <c r="C30" s="1"/>
      <c r="D30" s="2">
        <v>45926</v>
      </c>
      <c r="E30" s="3">
        <v>0.33333333333333331</v>
      </c>
      <c r="F30" s="3">
        <v>0.5</v>
      </c>
      <c r="G30" s="3">
        <v>0.5493055555555556</v>
      </c>
      <c r="H30" s="3">
        <v>0.75</v>
      </c>
      <c r="I30" s="24">
        <v>0.18333333333333299</v>
      </c>
      <c r="J30" s="24">
        <f t="shared" si="11"/>
        <v>0.16666666666666669</v>
      </c>
      <c r="K30" s="48">
        <f>G30-F30</f>
        <v>4.9305555555555602E-2</v>
      </c>
      <c r="L30" s="24">
        <v>0.266666666666666</v>
      </c>
      <c r="M30" s="25">
        <f t="shared" si="12"/>
        <v>0.2006944444444444</v>
      </c>
      <c r="N30" s="25">
        <f t="shared" si="13"/>
        <v>0.36736111111111108</v>
      </c>
      <c r="O30" s="25">
        <v>0.36666666666666697</v>
      </c>
      <c r="P30" s="27">
        <f>N30-O30</f>
        <v>6.9444444444410891E-4</v>
      </c>
    </row>
    <row r="31" spans="1:16">
      <c r="A31" s="1">
        <v>85</v>
      </c>
      <c r="B31" s="1" t="s">
        <v>84</v>
      </c>
      <c r="C31" s="1"/>
      <c r="D31" s="2">
        <v>45927</v>
      </c>
      <c r="E31" s="60" t="s">
        <v>75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2"/>
    </row>
    <row r="32" spans="1:16">
      <c r="A32" s="1">
        <v>85</v>
      </c>
      <c r="B32" s="1" t="s">
        <v>84</v>
      </c>
      <c r="C32" s="1"/>
      <c r="D32" s="2">
        <v>45928</v>
      </c>
      <c r="E32" s="57" t="s">
        <v>67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9"/>
    </row>
    <row r="33" spans="1:16">
      <c r="A33" s="1">
        <v>85</v>
      </c>
      <c r="B33" s="1" t="s">
        <v>84</v>
      </c>
      <c r="C33" s="1"/>
      <c r="D33" s="2">
        <v>45929</v>
      </c>
      <c r="E33" s="3">
        <v>0.33333333333333331</v>
      </c>
      <c r="F33" s="3">
        <v>0.50347222222222221</v>
      </c>
      <c r="G33" s="3">
        <v>0.55277777777777781</v>
      </c>
      <c r="H33" s="3">
        <v>0.75</v>
      </c>
      <c r="I33" s="24">
        <v>0.18333333333333299</v>
      </c>
      <c r="J33" s="24">
        <f t="shared" ref="J33:J34" si="15">F33-E33</f>
        <v>0.1701388888888889</v>
      </c>
      <c r="K33" s="48">
        <f>G33-F33</f>
        <v>4.9305555555555602E-2</v>
      </c>
      <c r="L33" s="24">
        <v>0.266666666666666</v>
      </c>
      <c r="M33" s="25">
        <f t="shared" ref="M33:M34" si="16">H33-G33</f>
        <v>0.19722222222222219</v>
      </c>
      <c r="N33" s="25">
        <f t="shared" ref="N33:N34" si="17">M33+J33</f>
        <v>0.36736111111111108</v>
      </c>
      <c r="O33" s="25">
        <v>0.36666666666666697</v>
      </c>
      <c r="P33" s="27">
        <f>N33-O33</f>
        <v>6.9444444444410891E-4</v>
      </c>
    </row>
    <row r="34" spans="1:16">
      <c r="A34" s="1">
        <v>85</v>
      </c>
      <c r="B34" s="1" t="s">
        <v>84</v>
      </c>
      <c r="C34" s="1"/>
      <c r="D34" s="2">
        <v>45930</v>
      </c>
      <c r="E34" s="3">
        <v>0.33333333333333331</v>
      </c>
      <c r="F34" s="3">
        <v>0.5</v>
      </c>
      <c r="G34" s="3">
        <v>0.55000000000000004</v>
      </c>
      <c r="H34" s="3">
        <v>0.75</v>
      </c>
      <c r="I34" s="24">
        <v>0.18333333333333299</v>
      </c>
      <c r="J34" s="24">
        <f t="shared" si="15"/>
        <v>0.16666666666666669</v>
      </c>
      <c r="K34" s="48">
        <f>G34-F34</f>
        <v>5.0000000000000044E-2</v>
      </c>
      <c r="L34" s="24">
        <v>0.266666666666666</v>
      </c>
      <c r="M34" s="25">
        <f t="shared" si="16"/>
        <v>0.19999999999999996</v>
      </c>
      <c r="N34" s="25">
        <f t="shared" si="17"/>
        <v>0.36666666666666664</v>
      </c>
      <c r="O34" s="25">
        <v>0.36666666666666697</v>
      </c>
      <c r="P34" s="27">
        <f>N34-O34</f>
        <v>0</v>
      </c>
    </row>
    <row r="35" spans="1:16">
      <c r="E35" s="45"/>
      <c r="F35" s="45"/>
      <c r="G35" s="45"/>
      <c r="H35" s="45"/>
      <c r="I35" s="46"/>
      <c r="J35" s="46"/>
      <c r="K35" s="46"/>
      <c r="L35" s="46"/>
      <c r="M35" s="15"/>
      <c r="N35" s="15"/>
      <c r="O35" s="15"/>
      <c r="P35" s="15"/>
    </row>
    <row r="36" spans="1:16">
      <c r="A36" s="4"/>
      <c r="B36" s="4"/>
      <c r="C36" s="5" t="s">
        <v>60</v>
      </c>
      <c r="D36" s="21">
        <f>SUM(P5,P6,P7,P8,P9,P13,P14,P15,P16,P19,P20,P21,P22,P23,P26,P27,P28,P29,P30,P33,P34)</f>
        <v>2.4305555555553138E-2</v>
      </c>
    </row>
    <row r="37" spans="1:16">
      <c r="A37" s="4"/>
      <c r="B37" s="4"/>
      <c r="C37" s="7" t="s">
        <v>62</v>
      </c>
      <c r="D37" s="8">
        <f>P4</f>
        <v>0</v>
      </c>
      <c r="E37" s="9"/>
      <c r="F37" s="68" t="s">
        <v>61</v>
      </c>
      <c r="G37" s="68"/>
      <c r="H37" s="68"/>
      <c r="I37" s="9"/>
      <c r="J37" s="68" t="s">
        <v>68</v>
      </c>
      <c r="K37" s="68"/>
      <c r="L37" s="68"/>
      <c r="M37" s="9"/>
      <c r="N37" s="68" t="s">
        <v>69</v>
      </c>
      <c r="O37" s="68"/>
      <c r="P37" s="68"/>
    </row>
    <row r="38" spans="1:16">
      <c r="A38" s="68" t="s">
        <v>64</v>
      </c>
      <c r="B38" s="68"/>
      <c r="C38" s="10" t="s">
        <v>65</v>
      </c>
      <c r="D38" s="34">
        <f>SUM(P12)</f>
        <v>2.0833333333329929E-3</v>
      </c>
      <c r="E38" s="9"/>
      <c r="F38" s="11"/>
      <c r="G38" s="67" t="s">
        <v>63</v>
      </c>
      <c r="H38" s="67"/>
      <c r="I38" s="9"/>
      <c r="J38" s="66" t="s">
        <v>70</v>
      </c>
      <c r="K38" s="66"/>
      <c r="L38" s="21">
        <v>2.5000000000000001E-2</v>
      </c>
      <c r="M38" s="9"/>
      <c r="N38" s="67" t="s">
        <v>77</v>
      </c>
      <c r="O38" s="67"/>
      <c r="P38" s="31">
        <f>L38</f>
        <v>2.5000000000000001E-2</v>
      </c>
    </row>
    <row r="39" spans="1:16">
      <c r="A39" s="13"/>
      <c r="B39" s="13"/>
      <c r="C39" s="47" t="s">
        <v>78</v>
      </c>
      <c r="D39" s="14">
        <v>0</v>
      </c>
      <c r="E39" s="15"/>
      <c r="F39" s="16"/>
      <c r="G39" s="67" t="s">
        <v>60</v>
      </c>
      <c r="H39" s="67"/>
      <c r="I39" s="9"/>
      <c r="J39" s="66" t="s">
        <v>86</v>
      </c>
      <c r="K39" s="66"/>
      <c r="L39" s="32">
        <v>2.2222222222222223E-2</v>
      </c>
      <c r="M39" s="9"/>
      <c r="N39" s="67" t="s">
        <v>87</v>
      </c>
      <c r="O39" s="67"/>
      <c r="P39" s="32">
        <v>2.2222222222222223E-2</v>
      </c>
    </row>
    <row r="40" spans="1:16">
      <c r="A40" s="9"/>
      <c r="B40" s="9"/>
      <c r="C40" s="17"/>
      <c r="D40" s="18"/>
      <c r="E40" s="9"/>
      <c r="F40" s="19"/>
      <c r="G40" s="12" t="s">
        <v>65</v>
      </c>
      <c r="H40" s="12"/>
      <c r="I40" s="9"/>
      <c r="J40" s="63" t="s">
        <v>81</v>
      </c>
      <c r="K40" s="64"/>
      <c r="L40" s="14">
        <v>0</v>
      </c>
      <c r="M40" s="9"/>
      <c r="N40" s="65" t="s">
        <v>72</v>
      </c>
      <c r="O40" s="65"/>
      <c r="P40" s="21">
        <f>P39+P38</f>
        <v>4.7222222222222221E-2</v>
      </c>
    </row>
    <row r="41" spans="1:16">
      <c r="A41" s="9"/>
      <c r="B41" s="9"/>
      <c r="C41" s="20" t="s">
        <v>66</v>
      </c>
      <c r="D41" s="32">
        <f>SUM(-D38,D36)</f>
        <v>2.2222222222220145E-2</v>
      </c>
      <c r="E41" s="9"/>
      <c r="F41" s="22"/>
      <c r="G41" s="12" t="s">
        <v>79</v>
      </c>
      <c r="H41" s="12"/>
      <c r="I41" s="9"/>
      <c r="J41" s="66"/>
      <c r="K41" s="66"/>
      <c r="L41" s="28">
        <v>0</v>
      </c>
      <c r="M41" s="9"/>
      <c r="N41" s="67" t="s">
        <v>73</v>
      </c>
      <c r="O41" s="67"/>
      <c r="P41" s="29">
        <v>0</v>
      </c>
    </row>
    <row r="42" spans="1:16">
      <c r="E42" s="9"/>
      <c r="F42" s="23"/>
      <c r="G42" s="67" t="s">
        <v>71</v>
      </c>
      <c r="H42" s="67"/>
      <c r="I42" s="9"/>
      <c r="J42" s="65"/>
      <c r="K42" s="65"/>
      <c r="L42" s="30">
        <v>0</v>
      </c>
      <c r="M42" s="9"/>
      <c r="N42" s="65" t="s">
        <v>74</v>
      </c>
      <c r="O42" s="65"/>
      <c r="P42" s="21">
        <f>P40</f>
        <v>4.7222222222222221E-2</v>
      </c>
    </row>
    <row r="44" spans="1:16">
      <c r="J44" s="53" t="s">
        <v>80</v>
      </c>
      <c r="K44" s="53"/>
    </row>
    <row r="45" spans="1:16">
      <c r="J45" s="53"/>
      <c r="K45" s="53"/>
    </row>
  </sheetData>
  <mergeCells count="43">
    <mergeCell ref="J44:K45"/>
    <mergeCell ref="E10:P10"/>
    <mergeCell ref="E11:P11"/>
    <mergeCell ref="E17:P17"/>
    <mergeCell ref="E18:P18"/>
    <mergeCell ref="E24:P24"/>
    <mergeCell ref="E25:P25"/>
    <mergeCell ref="E31:P31"/>
    <mergeCell ref="E32:P32"/>
    <mergeCell ref="J40:K40"/>
    <mergeCell ref="N40:O40"/>
    <mergeCell ref="J41:K41"/>
    <mergeCell ref="N41:O41"/>
    <mergeCell ref="G42:H42"/>
    <mergeCell ref="J42:K42"/>
    <mergeCell ref="N42:O42"/>
    <mergeCell ref="A38:B38"/>
    <mergeCell ref="G38:H38"/>
    <mergeCell ref="J38:K38"/>
    <mergeCell ref="N38:O38"/>
    <mergeCell ref="G39:H39"/>
    <mergeCell ref="J39:K39"/>
    <mergeCell ref="N39:O39"/>
    <mergeCell ref="F37:H37"/>
    <mergeCell ref="J37:L37"/>
    <mergeCell ref="N37:P37"/>
    <mergeCell ref="P3:P4"/>
    <mergeCell ref="J3:J4"/>
    <mergeCell ref="K3:K4"/>
    <mergeCell ref="L3:L4"/>
    <mergeCell ref="M3:M4"/>
    <mergeCell ref="N3:N4"/>
    <mergeCell ref="O3:O4"/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</mergeCells>
  <pageMargins left="0.51181102362204722" right="0.51181102362204722" top="0.78740157480314965" bottom="0.78740157480314965" header="0.31496062992125984" footer="0.31496062992125984"/>
  <pageSetup paperSize="9" scale="7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067C-982F-4EA1-870B-749C67986E0B}">
  <sheetPr>
    <pageSetUpPr fitToPage="1"/>
  </sheetPr>
  <dimension ref="A1:P46"/>
  <sheetViews>
    <sheetView topLeftCell="A14" workbookViewId="0">
      <selection sqref="A1:P48"/>
    </sheetView>
  </sheetViews>
  <sheetFormatPr defaultRowHeight="12.75"/>
  <cols>
    <col min="2" max="2" width="11.5703125" customWidth="1"/>
    <col min="3" max="3" width="17.140625" customWidth="1"/>
    <col min="4" max="4" width="11.5703125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88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45931</v>
      </c>
      <c r="E5" s="3">
        <v>0.33333333333333331</v>
      </c>
      <c r="F5" s="3">
        <v>0.50763888888888886</v>
      </c>
      <c r="G5" s="3">
        <v>0.55347222222222225</v>
      </c>
      <c r="H5" s="3">
        <v>0.75</v>
      </c>
      <c r="I5" s="24">
        <v>0.18333333333333299</v>
      </c>
      <c r="J5" s="24">
        <f t="shared" ref="J5:K7" si="0">F5-E5</f>
        <v>0.17430555555555555</v>
      </c>
      <c r="K5" s="48">
        <f t="shared" si="0"/>
        <v>4.5833333333333393E-2</v>
      </c>
      <c r="L5" s="24">
        <v>0.18333333333333299</v>
      </c>
      <c r="M5" s="25">
        <f t="shared" ref="M5:M7" si="1">H5-G5</f>
        <v>0.19652777777777775</v>
      </c>
      <c r="N5" s="25">
        <f t="shared" ref="N5:N7" si="2">M5+J5</f>
        <v>0.37083333333333329</v>
      </c>
      <c r="O5" s="25">
        <f t="shared" ref="O5" si="3">I5+L5</f>
        <v>0.36666666666666597</v>
      </c>
      <c r="P5" s="27">
        <f>N5-O5</f>
        <v>4.166666666667318E-3</v>
      </c>
    </row>
    <row r="6" spans="1:16">
      <c r="A6" s="1">
        <v>85</v>
      </c>
      <c r="B6" s="1" t="s">
        <v>84</v>
      </c>
      <c r="C6" s="1"/>
      <c r="D6" s="2">
        <v>45932</v>
      </c>
      <c r="E6" s="3">
        <v>0.33333333333333331</v>
      </c>
      <c r="F6" s="3">
        <v>0.50347222222222221</v>
      </c>
      <c r="G6" s="3">
        <v>0.55277777777777781</v>
      </c>
      <c r="H6" s="3">
        <v>0.75</v>
      </c>
      <c r="I6" s="24">
        <v>0.18333333333333299</v>
      </c>
      <c r="J6" s="24">
        <f t="shared" si="0"/>
        <v>0.1701388888888889</v>
      </c>
      <c r="K6" s="48">
        <f t="shared" si="0"/>
        <v>4.9305555555555602E-2</v>
      </c>
      <c r="L6" s="24">
        <v>0.26666666666666666</v>
      </c>
      <c r="M6" s="25">
        <f t="shared" si="1"/>
        <v>0.19722222222222219</v>
      </c>
      <c r="N6" s="25">
        <f t="shared" si="2"/>
        <v>0.36736111111111108</v>
      </c>
      <c r="O6" s="25">
        <v>0.36666666666666664</v>
      </c>
      <c r="P6" s="27">
        <f>N6-O6</f>
        <v>6.9444444444444198E-4</v>
      </c>
    </row>
    <row r="7" spans="1:16">
      <c r="A7" s="1">
        <v>85</v>
      </c>
      <c r="B7" s="1" t="s">
        <v>84</v>
      </c>
      <c r="C7" s="1"/>
      <c r="D7" s="2">
        <v>45933</v>
      </c>
      <c r="E7" s="3">
        <v>0.33333333333333331</v>
      </c>
      <c r="F7" s="3">
        <v>0.5</v>
      </c>
      <c r="G7" s="3">
        <v>0.55000000000000004</v>
      </c>
      <c r="H7" s="3">
        <v>0.75624999999999998</v>
      </c>
      <c r="I7" s="24">
        <v>0.18333333333333299</v>
      </c>
      <c r="J7" s="24">
        <f t="shared" si="0"/>
        <v>0.16666666666666669</v>
      </c>
      <c r="K7" s="48">
        <f t="shared" si="0"/>
        <v>5.0000000000000044E-2</v>
      </c>
      <c r="L7" s="24">
        <v>0.266666666666666</v>
      </c>
      <c r="M7" s="25">
        <f t="shared" si="1"/>
        <v>0.20624999999999993</v>
      </c>
      <c r="N7" s="25">
        <f t="shared" si="2"/>
        <v>0.37291666666666662</v>
      </c>
      <c r="O7" s="25">
        <v>0.36666666666666697</v>
      </c>
      <c r="P7" s="27">
        <f>N7-O7</f>
        <v>6.2499999999996447E-3</v>
      </c>
    </row>
    <row r="8" spans="1:16">
      <c r="A8" s="1">
        <v>85</v>
      </c>
      <c r="B8" s="1" t="s">
        <v>84</v>
      </c>
      <c r="C8" s="1"/>
      <c r="D8" s="2">
        <v>45934</v>
      </c>
      <c r="E8" s="60" t="s">
        <v>75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2"/>
    </row>
    <row r="9" spans="1:16">
      <c r="A9" s="1">
        <v>85</v>
      </c>
      <c r="B9" s="1" t="s">
        <v>84</v>
      </c>
      <c r="C9" s="1"/>
      <c r="D9" s="2">
        <v>45935</v>
      </c>
      <c r="E9" s="57" t="s">
        <v>67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9"/>
    </row>
    <row r="10" spans="1:16">
      <c r="A10" s="1">
        <v>85</v>
      </c>
      <c r="B10" s="1" t="s">
        <v>84</v>
      </c>
      <c r="C10" s="1"/>
      <c r="D10" s="2">
        <v>45936</v>
      </c>
      <c r="E10" s="3">
        <v>0.33333333333333331</v>
      </c>
      <c r="F10" s="3">
        <v>0.5</v>
      </c>
      <c r="G10" s="3">
        <v>0.55000000000000004</v>
      </c>
      <c r="H10" s="3">
        <v>0.75</v>
      </c>
      <c r="I10" s="24">
        <v>0.18333333333333332</v>
      </c>
      <c r="J10" s="24">
        <f>F10-E10</f>
        <v>0.16666666666666669</v>
      </c>
      <c r="K10" s="48">
        <f>G10-F10</f>
        <v>5.0000000000000044E-2</v>
      </c>
      <c r="L10" s="24">
        <v>0.18333333333333332</v>
      </c>
      <c r="M10" s="25">
        <f>H10-G10</f>
        <v>0.19999999999999996</v>
      </c>
      <c r="N10" s="25">
        <f t="shared" ref="N10:N14" si="4">M10+J10</f>
        <v>0.36666666666666664</v>
      </c>
      <c r="O10" s="25">
        <f t="shared" ref="O10" si="5">I10+L10</f>
        <v>0.36666666666666664</v>
      </c>
      <c r="P10" s="27">
        <f>N10-O10</f>
        <v>0</v>
      </c>
    </row>
    <row r="11" spans="1:16">
      <c r="A11" s="1">
        <v>85</v>
      </c>
      <c r="B11" s="1" t="s">
        <v>84</v>
      </c>
      <c r="C11" s="1"/>
      <c r="D11" s="2">
        <v>45937</v>
      </c>
      <c r="E11" s="3">
        <v>0.33333333333333331</v>
      </c>
      <c r="F11" s="3">
        <v>0.5</v>
      </c>
      <c r="G11" s="3">
        <v>0.5493055555555556</v>
      </c>
      <c r="H11" s="3">
        <v>0.75</v>
      </c>
      <c r="I11" s="24">
        <v>0.18333333333333299</v>
      </c>
      <c r="J11" s="24">
        <f t="shared" ref="J11:J14" si="6">F11-E11</f>
        <v>0.16666666666666669</v>
      </c>
      <c r="K11" s="48">
        <f>G11-F11</f>
        <v>4.9305555555555602E-2</v>
      </c>
      <c r="L11" s="24">
        <v>0.266666666666666</v>
      </c>
      <c r="M11" s="25">
        <f t="shared" ref="M11:M14" si="7">H11-G11</f>
        <v>0.2006944444444444</v>
      </c>
      <c r="N11" s="25">
        <f t="shared" si="4"/>
        <v>0.36736111111111108</v>
      </c>
      <c r="O11" s="25">
        <v>0.36666666666666697</v>
      </c>
      <c r="P11" s="27">
        <f>N11-O11</f>
        <v>6.9444444444410891E-4</v>
      </c>
    </row>
    <row r="12" spans="1:16">
      <c r="A12" s="1">
        <v>85</v>
      </c>
      <c r="B12" s="1" t="s">
        <v>84</v>
      </c>
      <c r="C12" s="1"/>
      <c r="D12" s="2">
        <v>45938</v>
      </c>
      <c r="E12" s="3">
        <v>0.33333333333333331</v>
      </c>
      <c r="F12" s="3">
        <v>0.50138888888888888</v>
      </c>
      <c r="G12" s="3">
        <v>0.55069444444444449</v>
      </c>
      <c r="H12" s="3">
        <v>0.75</v>
      </c>
      <c r="I12" s="24">
        <v>0.18333333333333299</v>
      </c>
      <c r="J12" s="24">
        <f t="shared" si="6"/>
        <v>0.16805555555555557</v>
      </c>
      <c r="K12" s="48">
        <f>G12-F12</f>
        <v>4.9305555555555602E-2</v>
      </c>
      <c r="L12" s="24">
        <v>0.266666666666666</v>
      </c>
      <c r="M12" s="25">
        <f t="shared" si="7"/>
        <v>0.19930555555555551</v>
      </c>
      <c r="N12" s="25">
        <f t="shared" si="4"/>
        <v>0.36736111111111108</v>
      </c>
      <c r="O12" s="25">
        <v>0.36666666666666697</v>
      </c>
      <c r="P12" s="27">
        <f>N12-O12</f>
        <v>6.9444444444410891E-4</v>
      </c>
    </row>
    <row r="13" spans="1:16">
      <c r="A13" s="1">
        <v>85</v>
      </c>
      <c r="B13" s="1" t="s">
        <v>84</v>
      </c>
      <c r="C13" s="1"/>
      <c r="D13" s="2">
        <v>45939</v>
      </c>
      <c r="E13" s="3">
        <v>0.33333333333333331</v>
      </c>
      <c r="F13" s="3">
        <v>0.5083333333333333</v>
      </c>
      <c r="G13" s="3">
        <v>0.55694444444444446</v>
      </c>
      <c r="H13" s="3">
        <v>0.75</v>
      </c>
      <c r="I13" s="24">
        <v>0.18333333333333299</v>
      </c>
      <c r="J13" s="24">
        <f t="shared" si="6"/>
        <v>0.17499999999999999</v>
      </c>
      <c r="K13" s="48">
        <f>G13-F13</f>
        <v>4.861111111111116E-2</v>
      </c>
      <c r="L13" s="24">
        <v>0.266666666666666</v>
      </c>
      <c r="M13" s="25">
        <f t="shared" si="7"/>
        <v>0.19305555555555554</v>
      </c>
      <c r="N13" s="25">
        <f t="shared" si="4"/>
        <v>0.36805555555555552</v>
      </c>
      <c r="O13" s="25">
        <v>0.36666666666666697</v>
      </c>
      <c r="P13" s="27">
        <f>N13-O13</f>
        <v>1.3888888888885509E-3</v>
      </c>
    </row>
    <row r="14" spans="1:16">
      <c r="A14" s="1">
        <v>85</v>
      </c>
      <c r="B14" s="1" t="s">
        <v>84</v>
      </c>
      <c r="C14" s="1"/>
      <c r="D14" s="2">
        <v>45940</v>
      </c>
      <c r="E14" s="3">
        <v>0.33333333333333331</v>
      </c>
      <c r="F14" s="3">
        <v>0.5</v>
      </c>
      <c r="G14" s="3">
        <v>0.55069444444444449</v>
      </c>
      <c r="H14" s="3">
        <v>0.75</v>
      </c>
      <c r="I14" s="24">
        <v>0.18333333333333299</v>
      </c>
      <c r="J14" s="24">
        <f t="shared" si="6"/>
        <v>0.16666666666666669</v>
      </c>
      <c r="K14" s="48">
        <f>G14-F14</f>
        <v>5.0694444444444486E-2</v>
      </c>
      <c r="L14" s="24">
        <v>0.266666666666666</v>
      </c>
      <c r="M14" s="25">
        <f t="shared" si="7"/>
        <v>0.19930555555555551</v>
      </c>
      <c r="N14" s="25">
        <f t="shared" si="4"/>
        <v>0.3659722222222222</v>
      </c>
      <c r="O14" s="25">
        <v>0.36666666666666697</v>
      </c>
      <c r="P14" s="49">
        <f t="shared" ref="P14" si="8">O14-N14</f>
        <v>6.9444444444477504E-4</v>
      </c>
    </row>
    <row r="15" spans="1:16">
      <c r="A15" s="1">
        <v>85</v>
      </c>
      <c r="B15" s="1" t="s">
        <v>84</v>
      </c>
      <c r="C15" s="1"/>
      <c r="D15" s="2">
        <v>45941</v>
      </c>
      <c r="E15" s="60" t="s">
        <v>75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2"/>
    </row>
    <row r="16" spans="1:16">
      <c r="A16" s="1">
        <v>85</v>
      </c>
      <c r="B16" s="1" t="s">
        <v>84</v>
      </c>
      <c r="C16" s="1"/>
      <c r="D16" s="2">
        <v>45942</v>
      </c>
      <c r="E16" s="57" t="s">
        <v>67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9"/>
    </row>
    <row r="17" spans="1:16">
      <c r="A17" s="1">
        <v>85</v>
      </c>
      <c r="B17" s="1" t="s">
        <v>84</v>
      </c>
      <c r="C17" s="1"/>
      <c r="D17" s="2">
        <v>45943</v>
      </c>
      <c r="E17" s="3">
        <v>0.33333333333333331</v>
      </c>
      <c r="F17" s="3">
        <v>0.50208333333333333</v>
      </c>
      <c r="G17" s="3">
        <v>0.55138888888888893</v>
      </c>
      <c r="H17" s="3">
        <v>0.75</v>
      </c>
      <c r="I17" s="24">
        <v>0.18333333333333332</v>
      </c>
      <c r="J17" s="24">
        <f>F17-E17</f>
        <v>0.16875000000000001</v>
      </c>
      <c r="K17" s="48">
        <f>G17-F17</f>
        <v>4.9305555555555602E-2</v>
      </c>
      <c r="L17" s="24">
        <v>0.18333333333333332</v>
      </c>
      <c r="M17" s="25">
        <f>H17-G17</f>
        <v>0.19861111111111107</v>
      </c>
      <c r="N17" s="25">
        <f t="shared" ref="N17:N21" si="9">M17+J17</f>
        <v>0.36736111111111108</v>
      </c>
      <c r="O17" s="25">
        <f t="shared" ref="O17" si="10">I17+L17</f>
        <v>0.36666666666666664</v>
      </c>
      <c r="P17" s="27">
        <f>N17-O17</f>
        <v>6.9444444444444198E-4</v>
      </c>
    </row>
    <row r="18" spans="1:16">
      <c r="A18" s="1">
        <v>85</v>
      </c>
      <c r="B18" s="1" t="s">
        <v>84</v>
      </c>
      <c r="C18" s="1"/>
      <c r="D18" s="2">
        <v>45944</v>
      </c>
      <c r="E18" s="3">
        <v>0.33333333333333331</v>
      </c>
      <c r="F18" s="3">
        <v>0.50416666666666665</v>
      </c>
      <c r="G18" s="3">
        <v>0.5541666666666667</v>
      </c>
      <c r="H18" s="3">
        <v>0.75</v>
      </c>
      <c r="I18" s="24">
        <v>0.18333333333333299</v>
      </c>
      <c r="J18" s="24">
        <f t="shared" ref="J18:J21" si="11">F18-E18</f>
        <v>0.17083333333333334</v>
      </c>
      <c r="K18" s="48">
        <f>G18-F18</f>
        <v>5.0000000000000044E-2</v>
      </c>
      <c r="L18" s="24">
        <v>0.266666666666666</v>
      </c>
      <c r="M18" s="25">
        <f t="shared" ref="M18:M21" si="12">H18-G18</f>
        <v>0.1958333333333333</v>
      </c>
      <c r="N18" s="25">
        <f t="shared" si="9"/>
        <v>0.36666666666666664</v>
      </c>
      <c r="O18" s="25">
        <v>0.36666666666666697</v>
      </c>
      <c r="P18" s="27">
        <f>N18-O18</f>
        <v>0</v>
      </c>
    </row>
    <row r="19" spans="1:16">
      <c r="A19" s="1">
        <v>85</v>
      </c>
      <c r="B19" s="1" t="s">
        <v>84</v>
      </c>
      <c r="C19" s="1"/>
      <c r="D19" s="2">
        <v>45945</v>
      </c>
      <c r="E19" s="3">
        <v>0.33333333333333331</v>
      </c>
      <c r="F19" s="3">
        <v>0.50138888888888888</v>
      </c>
      <c r="G19" s="3">
        <v>0.55069444444444449</v>
      </c>
      <c r="H19" s="3">
        <v>0.75</v>
      </c>
      <c r="I19" s="24">
        <v>0.18333333333333299</v>
      </c>
      <c r="J19" s="24">
        <f t="shared" si="11"/>
        <v>0.16805555555555557</v>
      </c>
      <c r="K19" s="48">
        <f>G19-F19</f>
        <v>4.9305555555555602E-2</v>
      </c>
      <c r="L19" s="24">
        <v>0.266666666666666</v>
      </c>
      <c r="M19" s="25">
        <f t="shared" si="12"/>
        <v>0.19930555555555551</v>
      </c>
      <c r="N19" s="25">
        <f t="shared" si="9"/>
        <v>0.36736111111111108</v>
      </c>
      <c r="O19" s="25">
        <v>0.36666666666666697</v>
      </c>
      <c r="P19" s="27">
        <f>N19-O19</f>
        <v>6.9444444444410891E-4</v>
      </c>
    </row>
    <row r="20" spans="1:16">
      <c r="A20" s="1">
        <v>85</v>
      </c>
      <c r="B20" s="1" t="s">
        <v>84</v>
      </c>
      <c r="C20" s="1"/>
      <c r="D20" s="2">
        <v>45946</v>
      </c>
      <c r="E20" s="3">
        <v>0.33333333333333331</v>
      </c>
      <c r="F20" s="3">
        <v>0.50486111111111109</v>
      </c>
      <c r="G20" s="3">
        <v>0.55069444444444449</v>
      </c>
      <c r="H20" s="3">
        <v>0.75</v>
      </c>
      <c r="I20" s="24">
        <v>0.18333333333333299</v>
      </c>
      <c r="J20" s="24">
        <f t="shared" si="11"/>
        <v>0.17152777777777778</v>
      </c>
      <c r="K20" s="48">
        <f>G20-F20</f>
        <v>4.5833333333333393E-2</v>
      </c>
      <c r="L20" s="24">
        <v>0.266666666666666</v>
      </c>
      <c r="M20" s="25">
        <f t="shared" si="12"/>
        <v>0.19930555555555551</v>
      </c>
      <c r="N20" s="25">
        <f t="shared" si="9"/>
        <v>0.37083333333333329</v>
      </c>
      <c r="O20" s="25">
        <v>0.36666666666666697</v>
      </c>
      <c r="P20" s="27">
        <f>N20-O20</f>
        <v>4.1666666666663188E-3</v>
      </c>
    </row>
    <row r="21" spans="1:16">
      <c r="A21" s="1">
        <v>85</v>
      </c>
      <c r="B21" s="1" t="s">
        <v>84</v>
      </c>
      <c r="C21" s="1"/>
      <c r="D21" s="2">
        <v>45947</v>
      </c>
      <c r="E21" s="3">
        <v>0.33333333333333331</v>
      </c>
      <c r="F21" s="3">
        <v>0.5</v>
      </c>
      <c r="G21" s="3">
        <v>0.55000000000000004</v>
      </c>
      <c r="H21" s="3">
        <v>0.75</v>
      </c>
      <c r="I21" s="24">
        <v>0.18333333333333299</v>
      </c>
      <c r="J21" s="24">
        <f t="shared" si="11"/>
        <v>0.16666666666666669</v>
      </c>
      <c r="K21" s="48">
        <f>G21-F21</f>
        <v>5.0000000000000044E-2</v>
      </c>
      <c r="L21" s="24">
        <v>0.266666666666666</v>
      </c>
      <c r="M21" s="25">
        <f t="shared" si="12"/>
        <v>0.19999999999999996</v>
      </c>
      <c r="N21" s="25">
        <f t="shared" si="9"/>
        <v>0.36666666666666664</v>
      </c>
      <c r="O21" s="25">
        <v>0.36666666666666697</v>
      </c>
      <c r="P21" s="27">
        <f>N21-O21</f>
        <v>0</v>
      </c>
    </row>
    <row r="22" spans="1:16">
      <c r="A22" s="1">
        <v>85</v>
      </c>
      <c r="B22" s="1" t="s">
        <v>84</v>
      </c>
      <c r="C22" s="1"/>
      <c r="D22" s="2">
        <v>45948</v>
      </c>
      <c r="E22" s="60" t="s">
        <v>75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2"/>
    </row>
    <row r="23" spans="1:16">
      <c r="A23" s="1">
        <v>85</v>
      </c>
      <c r="B23" s="1" t="s">
        <v>84</v>
      </c>
      <c r="C23" s="1"/>
      <c r="D23" s="2">
        <v>45949</v>
      </c>
      <c r="E23" s="57" t="s">
        <v>67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9"/>
    </row>
    <row r="24" spans="1:16">
      <c r="A24" s="1">
        <v>85</v>
      </c>
      <c r="B24" s="1" t="s">
        <v>84</v>
      </c>
      <c r="C24" s="1"/>
      <c r="D24" s="2">
        <v>45950</v>
      </c>
      <c r="E24" s="3">
        <v>0.33333333333333331</v>
      </c>
      <c r="F24" s="3">
        <v>0.50069444444444444</v>
      </c>
      <c r="G24" s="3">
        <v>0.55069444444444449</v>
      </c>
      <c r="H24" s="3">
        <v>0.75</v>
      </c>
      <c r="I24" s="24">
        <v>0.18333333333333332</v>
      </c>
      <c r="J24" s="24">
        <f>F24-E24</f>
        <v>0.16736111111111113</v>
      </c>
      <c r="K24" s="48">
        <f>G24-F24</f>
        <v>5.0000000000000044E-2</v>
      </c>
      <c r="L24" s="24">
        <v>0.18333333333333332</v>
      </c>
      <c r="M24" s="25">
        <f>H24-G24</f>
        <v>0.19930555555555551</v>
      </c>
      <c r="N24" s="25">
        <f t="shared" ref="N24:N28" si="13">M24+J24</f>
        <v>0.36666666666666664</v>
      </c>
      <c r="O24" s="25">
        <f t="shared" ref="O24" si="14">I24+L24</f>
        <v>0.36666666666666664</v>
      </c>
      <c r="P24" s="27">
        <f>N24-O24</f>
        <v>0</v>
      </c>
    </row>
    <row r="25" spans="1:16">
      <c r="A25" s="1">
        <v>85</v>
      </c>
      <c r="B25" s="1" t="s">
        <v>84</v>
      </c>
      <c r="C25" s="1"/>
      <c r="D25" s="2">
        <v>45951</v>
      </c>
      <c r="E25" s="3">
        <v>0.33333333333333331</v>
      </c>
      <c r="F25" s="3">
        <v>0.5</v>
      </c>
      <c r="G25" s="3">
        <v>0.55000000000000004</v>
      </c>
      <c r="H25" s="3">
        <v>0.75</v>
      </c>
      <c r="I25" s="24">
        <v>0.18333333333333299</v>
      </c>
      <c r="J25" s="24">
        <f t="shared" ref="J25:J28" si="15">F25-E25</f>
        <v>0.16666666666666669</v>
      </c>
      <c r="K25" s="48">
        <f>G25-F25</f>
        <v>5.0000000000000044E-2</v>
      </c>
      <c r="L25" s="24">
        <v>0.266666666666666</v>
      </c>
      <c r="M25" s="25">
        <f t="shared" ref="M25:M28" si="16">H25-G25</f>
        <v>0.19999999999999996</v>
      </c>
      <c r="N25" s="25">
        <f t="shared" si="13"/>
        <v>0.36666666666666664</v>
      </c>
      <c r="O25" s="25">
        <v>0.36666666666666697</v>
      </c>
      <c r="P25" s="27">
        <f>N25-O25</f>
        <v>0</v>
      </c>
    </row>
    <row r="26" spans="1:16">
      <c r="A26" s="1">
        <v>85</v>
      </c>
      <c r="B26" s="1" t="s">
        <v>84</v>
      </c>
      <c r="C26" s="1"/>
      <c r="D26" s="2">
        <v>45952</v>
      </c>
      <c r="E26" s="3">
        <v>0.33333333333333331</v>
      </c>
      <c r="F26" s="3">
        <v>0.51249999999999996</v>
      </c>
      <c r="G26" s="3">
        <v>0.5625</v>
      </c>
      <c r="H26" s="3">
        <v>0.75</v>
      </c>
      <c r="I26" s="24">
        <v>0.18333333333333299</v>
      </c>
      <c r="J26" s="24">
        <f t="shared" si="15"/>
        <v>0.17916666666666664</v>
      </c>
      <c r="K26" s="48">
        <f>G26-F26</f>
        <v>5.0000000000000044E-2</v>
      </c>
      <c r="L26" s="24">
        <v>0.266666666666666</v>
      </c>
      <c r="M26" s="25">
        <f t="shared" si="16"/>
        <v>0.1875</v>
      </c>
      <c r="N26" s="25">
        <f t="shared" si="13"/>
        <v>0.36666666666666664</v>
      </c>
      <c r="O26" s="25">
        <v>0.36666666666666697</v>
      </c>
      <c r="P26" s="27">
        <f>N26-O26</f>
        <v>0</v>
      </c>
    </row>
    <row r="27" spans="1:16">
      <c r="A27" s="1">
        <v>85</v>
      </c>
      <c r="B27" s="1" t="s">
        <v>84</v>
      </c>
      <c r="C27" s="1"/>
      <c r="D27" s="2">
        <v>45953</v>
      </c>
      <c r="E27" s="3">
        <v>0.33333333333333331</v>
      </c>
      <c r="F27" s="3">
        <v>0.53333333333333333</v>
      </c>
      <c r="G27" s="3">
        <v>0.58263888888888893</v>
      </c>
      <c r="H27" s="3">
        <v>0.75416666666666665</v>
      </c>
      <c r="I27" s="24">
        <v>0.18333333333333299</v>
      </c>
      <c r="J27" s="24">
        <f t="shared" si="15"/>
        <v>0.2</v>
      </c>
      <c r="K27" s="48">
        <f>G27-F27</f>
        <v>4.9305555555555602E-2</v>
      </c>
      <c r="L27" s="24">
        <v>0.266666666666666</v>
      </c>
      <c r="M27" s="25">
        <f t="shared" si="16"/>
        <v>0.17152777777777772</v>
      </c>
      <c r="N27" s="25">
        <f t="shared" si="13"/>
        <v>0.37152777777777773</v>
      </c>
      <c r="O27" s="25">
        <v>0.36666666666666697</v>
      </c>
      <c r="P27" s="27">
        <f>N27-O27</f>
        <v>4.8611111111107608E-3</v>
      </c>
    </row>
    <row r="28" spans="1:16">
      <c r="A28" s="1">
        <v>85</v>
      </c>
      <c r="B28" s="1" t="s">
        <v>84</v>
      </c>
      <c r="C28" s="1"/>
      <c r="D28" s="2">
        <v>45954</v>
      </c>
      <c r="E28" s="3">
        <v>0.33333333333333331</v>
      </c>
      <c r="F28" s="3">
        <v>0.50277777777777777</v>
      </c>
      <c r="G28" s="3">
        <v>0.55208333333333337</v>
      </c>
      <c r="H28" s="3">
        <v>0.75</v>
      </c>
      <c r="I28" s="24">
        <v>0.18333333333333299</v>
      </c>
      <c r="J28" s="24">
        <f t="shared" si="15"/>
        <v>0.16944444444444445</v>
      </c>
      <c r="K28" s="48">
        <f>G28-F28</f>
        <v>4.9305555555555602E-2</v>
      </c>
      <c r="L28" s="24">
        <v>0.266666666666666</v>
      </c>
      <c r="M28" s="25">
        <f t="shared" si="16"/>
        <v>0.19791666666666663</v>
      </c>
      <c r="N28" s="25">
        <f t="shared" si="13"/>
        <v>0.36736111111111108</v>
      </c>
      <c r="O28" s="25">
        <v>0.36666666666666697</v>
      </c>
      <c r="P28" s="27">
        <f>N28-O28</f>
        <v>6.9444444444410891E-4</v>
      </c>
    </row>
    <row r="29" spans="1:16">
      <c r="A29" s="1">
        <v>85</v>
      </c>
      <c r="B29" s="1" t="s">
        <v>84</v>
      </c>
      <c r="C29" s="1"/>
      <c r="D29" s="2">
        <v>45955</v>
      </c>
      <c r="E29" s="60" t="s">
        <v>75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2"/>
    </row>
    <row r="30" spans="1:16">
      <c r="A30" s="1">
        <v>85</v>
      </c>
      <c r="B30" s="1" t="s">
        <v>84</v>
      </c>
      <c r="C30" s="1"/>
      <c r="D30" s="2">
        <v>45956</v>
      </c>
      <c r="E30" s="57" t="s">
        <v>67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9"/>
    </row>
    <row r="31" spans="1:16">
      <c r="A31" s="1">
        <v>85</v>
      </c>
      <c r="B31" s="1" t="s">
        <v>84</v>
      </c>
      <c r="C31" s="1"/>
      <c r="D31" s="2">
        <v>45957</v>
      </c>
      <c r="E31" s="3">
        <v>0.33333333333333331</v>
      </c>
      <c r="F31" s="3">
        <v>0.50347222222222221</v>
      </c>
      <c r="G31" s="3">
        <v>0.55277777777777781</v>
      </c>
      <c r="H31" s="3">
        <v>0.75</v>
      </c>
      <c r="I31" s="24">
        <v>0.18333333333333332</v>
      </c>
      <c r="J31" s="24">
        <f>F31-E31</f>
        <v>0.1701388888888889</v>
      </c>
      <c r="K31" s="48">
        <f>G31-F31</f>
        <v>4.9305555555555602E-2</v>
      </c>
      <c r="L31" s="24">
        <v>0.18333333333333332</v>
      </c>
      <c r="M31" s="25">
        <f>H31-G31</f>
        <v>0.19722222222222219</v>
      </c>
      <c r="N31" s="25">
        <f t="shared" ref="N31:N35" si="17">M31+J31</f>
        <v>0.36736111111111108</v>
      </c>
      <c r="O31" s="25">
        <f t="shared" ref="O31" si="18">I31+L31</f>
        <v>0.36666666666666664</v>
      </c>
      <c r="P31" s="27">
        <f>N31-O31</f>
        <v>6.9444444444444198E-4</v>
      </c>
    </row>
    <row r="32" spans="1:16">
      <c r="A32" s="1">
        <v>85</v>
      </c>
      <c r="B32" s="1" t="s">
        <v>84</v>
      </c>
      <c r="C32" s="1"/>
      <c r="D32" s="2">
        <v>45958</v>
      </c>
      <c r="E32" s="3">
        <v>0.33333333333333331</v>
      </c>
      <c r="F32" s="3">
        <v>0.50694444444444442</v>
      </c>
      <c r="G32" s="3">
        <v>0.55555555555555558</v>
      </c>
      <c r="H32" s="3">
        <v>0.75</v>
      </c>
      <c r="I32" s="24">
        <v>0.18333333333333299</v>
      </c>
      <c r="J32" s="24">
        <f t="shared" ref="J32:J35" si="19">F32-E32</f>
        <v>0.1736111111111111</v>
      </c>
      <c r="K32" s="48">
        <f>G32-F32</f>
        <v>4.861111111111116E-2</v>
      </c>
      <c r="L32" s="24">
        <v>0.266666666666666</v>
      </c>
      <c r="M32" s="25">
        <f t="shared" ref="M32:M35" si="20">H32-G32</f>
        <v>0.19444444444444442</v>
      </c>
      <c r="N32" s="25">
        <f t="shared" si="17"/>
        <v>0.36805555555555552</v>
      </c>
      <c r="O32" s="25">
        <v>0.36666666666666697</v>
      </c>
      <c r="P32" s="27">
        <f>N32-O32</f>
        <v>1.3888888888885509E-3</v>
      </c>
    </row>
    <row r="33" spans="1:16">
      <c r="A33" s="1">
        <v>85</v>
      </c>
      <c r="B33" s="1" t="s">
        <v>84</v>
      </c>
      <c r="C33" s="1"/>
      <c r="D33" s="2">
        <v>45959</v>
      </c>
      <c r="E33" s="3">
        <v>0.33333333333333331</v>
      </c>
      <c r="F33" s="3">
        <v>0.50624999999999998</v>
      </c>
      <c r="G33" s="3">
        <v>0.55625000000000002</v>
      </c>
      <c r="H33" s="3">
        <v>0.75</v>
      </c>
      <c r="I33" s="24">
        <v>0.18333333333333299</v>
      </c>
      <c r="J33" s="24">
        <f t="shared" si="19"/>
        <v>0.17291666666666666</v>
      </c>
      <c r="K33" s="48">
        <f>G33-F33</f>
        <v>5.0000000000000044E-2</v>
      </c>
      <c r="L33" s="24">
        <v>0.266666666666666</v>
      </c>
      <c r="M33" s="25">
        <f t="shared" si="20"/>
        <v>0.19374999999999998</v>
      </c>
      <c r="N33" s="25">
        <f t="shared" si="17"/>
        <v>0.36666666666666664</v>
      </c>
      <c r="O33" s="25">
        <v>0.36666666666666697</v>
      </c>
      <c r="P33" s="27">
        <f>N33-O33</f>
        <v>0</v>
      </c>
    </row>
    <row r="34" spans="1:16">
      <c r="A34" s="1">
        <v>85</v>
      </c>
      <c r="B34" s="1" t="s">
        <v>84</v>
      </c>
      <c r="C34" s="1"/>
      <c r="D34" s="2">
        <v>45960</v>
      </c>
      <c r="E34" s="3">
        <v>0.33333333333333331</v>
      </c>
      <c r="F34" s="3">
        <v>0.50069444444444444</v>
      </c>
      <c r="G34" s="3">
        <v>0.55000000000000004</v>
      </c>
      <c r="H34" s="3">
        <v>0.75</v>
      </c>
      <c r="I34" s="24">
        <v>0.18333333333333299</v>
      </c>
      <c r="J34" s="24">
        <f t="shared" si="19"/>
        <v>0.16736111111111113</v>
      </c>
      <c r="K34" s="48">
        <f>G34-F34</f>
        <v>4.9305555555555602E-2</v>
      </c>
      <c r="L34" s="24">
        <v>0.266666666666666</v>
      </c>
      <c r="M34" s="25">
        <f t="shared" si="20"/>
        <v>0.19999999999999996</v>
      </c>
      <c r="N34" s="25">
        <f t="shared" si="17"/>
        <v>0.36736111111111108</v>
      </c>
      <c r="O34" s="25">
        <v>0.36666666666666697</v>
      </c>
      <c r="P34" s="27">
        <f>N34-O34</f>
        <v>6.9444444444410891E-4</v>
      </c>
    </row>
    <row r="35" spans="1:16">
      <c r="A35" s="1">
        <v>85</v>
      </c>
      <c r="B35" s="1" t="s">
        <v>84</v>
      </c>
      <c r="C35" s="1"/>
      <c r="D35" s="2">
        <v>45961</v>
      </c>
      <c r="E35" s="3">
        <v>0.33333333333333331</v>
      </c>
      <c r="F35" s="3">
        <v>0.50416666666666665</v>
      </c>
      <c r="G35" s="3">
        <v>0.5541666666666667</v>
      </c>
      <c r="H35" s="3">
        <v>0.75</v>
      </c>
      <c r="I35" s="24">
        <v>0.18333333333333299</v>
      </c>
      <c r="J35" s="24">
        <f t="shared" si="19"/>
        <v>0.17083333333333334</v>
      </c>
      <c r="K35" s="48">
        <f>G35-F35</f>
        <v>5.0000000000000044E-2</v>
      </c>
      <c r="L35" s="24">
        <v>0.266666666666666</v>
      </c>
      <c r="M35" s="25">
        <f t="shared" si="20"/>
        <v>0.1958333333333333</v>
      </c>
      <c r="N35" s="25">
        <f t="shared" si="17"/>
        <v>0.36666666666666664</v>
      </c>
      <c r="O35" s="25">
        <v>0.36666666666666697</v>
      </c>
      <c r="P35" s="27">
        <f>N35-O35</f>
        <v>0</v>
      </c>
    </row>
    <row r="36" spans="1:16">
      <c r="E36" s="45"/>
      <c r="F36" s="45"/>
      <c r="G36" s="45"/>
      <c r="H36" s="45"/>
      <c r="I36" s="46"/>
      <c r="J36" s="46"/>
      <c r="K36" s="46"/>
      <c r="L36" s="46"/>
      <c r="M36" s="15"/>
      <c r="N36" s="15"/>
      <c r="O36" s="15"/>
      <c r="P36" s="15"/>
    </row>
    <row r="37" spans="1:16">
      <c r="A37" s="4"/>
      <c r="B37" s="4"/>
      <c r="C37" s="5" t="s">
        <v>60</v>
      </c>
      <c r="D37" s="21">
        <f>SUM(P5,P6,P7,P10,P11,P12,P13,P17,P18,P19,P20,P21,P24,P25,P26,P27,P28,P31,P32,P33,P34,P35)</f>
        <v>2.7777777777775015E-2</v>
      </c>
    </row>
    <row r="38" spans="1:16">
      <c r="A38" s="4"/>
      <c r="B38" s="4"/>
      <c r="C38" s="7" t="s">
        <v>62</v>
      </c>
      <c r="D38" s="8">
        <f>P4</f>
        <v>0</v>
      </c>
      <c r="E38" s="9"/>
      <c r="F38" s="68" t="s">
        <v>61</v>
      </c>
      <c r="G38" s="68"/>
      <c r="H38" s="68"/>
      <c r="I38" s="9"/>
      <c r="J38" s="68" t="s">
        <v>68</v>
      </c>
      <c r="K38" s="68"/>
      <c r="L38" s="68"/>
      <c r="M38" s="9"/>
      <c r="N38" s="68" t="s">
        <v>69</v>
      </c>
      <c r="O38" s="68"/>
      <c r="P38" s="68"/>
    </row>
    <row r="39" spans="1:16">
      <c r="A39" s="68" t="s">
        <v>64</v>
      </c>
      <c r="B39" s="68"/>
      <c r="C39" s="10" t="s">
        <v>65</v>
      </c>
      <c r="D39" s="34">
        <f>SUM(P12)</f>
        <v>6.9444444444410891E-4</v>
      </c>
      <c r="E39" s="9"/>
      <c r="F39" s="11"/>
      <c r="G39" s="67" t="s">
        <v>63</v>
      </c>
      <c r="H39" s="67"/>
      <c r="I39" s="9"/>
      <c r="J39" s="66" t="s">
        <v>70</v>
      </c>
      <c r="K39" s="66"/>
      <c r="L39" s="21">
        <v>4.7222222222222221E-2</v>
      </c>
      <c r="M39" s="9"/>
      <c r="N39" s="67" t="s">
        <v>77</v>
      </c>
      <c r="O39" s="67"/>
      <c r="P39" s="31">
        <f>L39</f>
        <v>4.7222222222222221E-2</v>
      </c>
    </row>
    <row r="40" spans="1:16">
      <c r="A40" s="13"/>
      <c r="B40" s="13"/>
      <c r="C40" s="47" t="s">
        <v>78</v>
      </c>
      <c r="D40" s="14">
        <v>0</v>
      </c>
      <c r="E40" s="15"/>
      <c r="F40" s="16"/>
      <c r="G40" s="67" t="s">
        <v>60</v>
      </c>
      <c r="H40" s="67"/>
      <c r="I40" s="9"/>
      <c r="J40" s="66" t="s">
        <v>89</v>
      </c>
      <c r="K40" s="66"/>
      <c r="L40" s="32">
        <v>2.7083333333333334E-2</v>
      </c>
      <c r="M40" s="9"/>
      <c r="N40" s="67" t="s">
        <v>90</v>
      </c>
      <c r="O40" s="67"/>
      <c r="P40" s="32">
        <v>2.7083333333333334E-2</v>
      </c>
    </row>
    <row r="41" spans="1:16">
      <c r="A41" s="9"/>
      <c r="B41" s="9"/>
      <c r="C41" s="17"/>
      <c r="D41" s="18"/>
      <c r="E41" s="9"/>
      <c r="F41" s="19"/>
      <c r="G41" s="12" t="s">
        <v>65</v>
      </c>
      <c r="H41" s="12"/>
      <c r="I41" s="9"/>
      <c r="J41" s="63" t="s">
        <v>81</v>
      </c>
      <c r="K41" s="64"/>
      <c r="L41" s="14">
        <v>0</v>
      </c>
      <c r="M41" s="9"/>
      <c r="N41" s="65" t="s">
        <v>72</v>
      </c>
      <c r="O41" s="65"/>
      <c r="P41" s="21">
        <f>P40+P39</f>
        <v>7.4305555555555555E-2</v>
      </c>
    </row>
    <row r="42" spans="1:16">
      <c r="A42" s="9"/>
      <c r="B42" s="9"/>
      <c r="C42" s="20" t="s">
        <v>66</v>
      </c>
      <c r="D42" s="32">
        <f>SUM(-D39,D37)</f>
        <v>2.7083333333330906E-2</v>
      </c>
      <c r="E42" s="9"/>
      <c r="F42" s="22"/>
      <c r="G42" s="12" t="s">
        <v>79</v>
      </c>
      <c r="H42" s="12"/>
      <c r="I42" s="9"/>
      <c r="J42" s="66"/>
      <c r="K42" s="66"/>
      <c r="L42" s="28">
        <v>0</v>
      </c>
      <c r="M42" s="9"/>
      <c r="N42" s="67" t="s">
        <v>73</v>
      </c>
      <c r="O42" s="67"/>
      <c r="P42" s="29">
        <v>0</v>
      </c>
    </row>
    <row r="43" spans="1:16">
      <c r="E43" s="9"/>
      <c r="F43" s="23"/>
      <c r="G43" s="67" t="s">
        <v>71</v>
      </c>
      <c r="H43" s="67"/>
      <c r="I43" s="9"/>
      <c r="J43" s="65"/>
      <c r="K43" s="65"/>
      <c r="L43" s="30">
        <v>0</v>
      </c>
      <c r="M43" s="9"/>
      <c r="N43" s="65" t="s">
        <v>74</v>
      </c>
      <c r="O43" s="65"/>
      <c r="P43" s="21">
        <f>P41</f>
        <v>7.4305555555555555E-2</v>
      </c>
    </row>
    <row r="45" spans="1:16">
      <c r="J45" s="53" t="s">
        <v>80</v>
      </c>
      <c r="K45" s="53"/>
    </row>
    <row r="46" spans="1:16">
      <c r="J46" s="53"/>
      <c r="K46" s="53"/>
    </row>
  </sheetData>
  <mergeCells count="43"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  <mergeCell ref="F38:H38"/>
    <mergeCell ref="J38:L38"/>
    <mergeCell ref="N38:P38"/>
    <mergeCell ref="P3:P4"/>
    <mergeCell ref="J3:J4"/>
    <mergeCell ref="K3:K4"/>
    <mergeCell ref="L3:L4"/>
    <mergeCell ref="M3:M4"/>
    <mergeCell ref="N3:N4"/>
    <mergeCell ref="O3:O4"/>
    <mergeCell ref="A39:B39"/>
    <mergeCell ref="G39:H39"/>
    <mergeCell ref="J39:K39"/>
    <mergeCell ref="N39:O39"/>
    <mergeCell ref="G40:H40"/>
    <mergeCell ref="J40:K40"/>
    <mergeCell ref="N40:O40"/>
    <mergeCell ref="J45:K46"/>
    <mergeCell ref="E8:P8"/>
    <mergeCell ref="E9:P9"/>
    <mergeCell ref="E15:P15"/>
    <mergeCell ref="E16:P16"/>
    <mergeCell ref="E22:P22"/>
    <mergeCell ref="E23:P23"/>
    <mergeCell ref="E29:P29"/>
    <mergeCell ref="E30:P30"/>
    <mergeCell ref="J41:K41"/>
    <mergeCell ref="N41:O41"/>
    <mergeCell ref="J42:K42"/>
    <mergeCell ref="N42:O42"/>
    <mergeCell ref="G43:H43"/>
    <mergeCell ref="J43:K43"/>
    <mergeCell ref="N43:O43"/>
  </mergeCells>
  <pageMargins left="0.51181102362204722" right="0.51181102362204722" top="0.78740157480314965" bottom="0.78740157480314965" header="0.31496062992125984" footer="0.31496062992125984"/>
  <pageSetup paperSize="9" scale="77" orientation="landscape" horizontalDpi="4294967294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6E39-A7BC-468E-844A-FEDCE47BE832}">
  <sheetPr>
    <pageSetUpPr fitToPage="1"/>
  </sheetPr>
  <dimension ref="A1:Q45"/>
  <sheetViews>
    <sheetView topLeftCell="A11" workbookViewId="0">
      <selection activeCell="M50" sqref="M50"/>
    </sheetView>
  </sheetViews>
  <sheetFormatPr defaultRowHeight="12.75"/>
  <cols>
    <col min="2" max="2" width="14.140625" customWidth="1"/>
    <col min="3" max="3" width="17.85546875" customWidth="1"/>
    <col min="4" max="4" width="12.140625" customWidth="1"/>
    <col min="15" max="15" width="10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88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45962</v>
      </c>
      <c r="E5" s="60" t="s">
        <v>75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2"/>
    </row>
    <row r="6" spans="1:16">
      <c r="A6" s="1">
        <v>85</v>
      </c>
      <c r="B6" s="1" t="s">
        <v>84</v>
      </c>
      <c r="C6" s="1"/>
      <c r="D6" s="2">
        <v>45963</v>
      </c>
      <c r="E6" s="57" t="s">
        <v>67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9"/>
    </row>
    <row r="7" spans="1:16">
      <c r="A7" s="1">
        <v>85</v>
      </c>
      <c r="B7" s="1" t="s">
        <v>84</v>
      </c>
      <c r="C7" s="1"/>
      <c r="D7" s="2">
        <v>45964</v>
      </c>
      <c r="E7" s="3">
        <v>0.33333333333333331</v>
      </c>
      <c r="F7" s="3">
        <v>0.50069444444444444</v>
      </c>
      <c r="G7" s="3">
        <v>0.5493055555555556</v>
      </c>
      <c r="H7" s="3">
        <v>0.75</v>
      </c>
      <c r="I7" s="24">
        <v>0.18333333333333332</v>
      </c>
      <c r="J7" s="24">
        <f>F7-E7</f>
        <v>0.16736111111111113</v>
      </c>
      <c r="K7" s="48">
        <f>G7-F7</f>
        <v>4.861111111111116E-2</v>
      </c>
      <c r="L7" s="24">
        <v>0.18333333333333332</v>
      </c>
      <c r="M7" s="25">
        <f>H7-G7</f>
        <v>0.2006944444444444</v>
      </c>
      <c r="N7" s="25">
        <f t="shared" ref="N7:N11" si="0">M7+J7</f>
        <v>0.36805555555555552</v>
      </c>
      <c r="O7" s="25">
        <f t="shared" ref="O7" si="1">I7+L7</f>
        <v>0.36666666666666664</v>
      </c>
      <c r="P7" s="27">
        <f>N7-O7</f>
        <v>1.388888888888884E-3</v>
      </c>
    </row>
    <row r="8" spans="1:16">
      <c r="A8" s="1">
        <v>85</v>
      </c>
      <c r="B8" s="1" t="s">
        <v>84</v>
      </c>
      <c r="C8" s="1"/>
      <c r="D8" s="2">
        <v>45965</v>
      </c>
      <c r="E8" s="3">
        <v>0.34166666666666667</v>
      </c>
      <c r="F8" s="3">
        <v>0.54027777777777775</v>
      </c>
      <c r="G8" s="3">
        <v>0.59027777777777779</v>
      </c>
      <c r="H8" s="3">
        <v>0.80069444444444449</v>
      </c>
      <c r="I8" s="24">
        <v>0.18333333333333299</v>
      </c>
      <c r="J8" s="24">
        <f t="shared" ref="J8:J11" si="2">F8-E8</f>
        <v>0.19861111111111107</v>
      </c>
      <c r="K8" s="48">
        <f>G8-F8</f>
        <v>5.0000000000000044E-2</v>
      </c>
      <c r="L8" s="24">
        <v>0.266666666666666</v>
      </c>
      <c r="M8" s="25">
        <f t="shared" ref="M8:M11" si="3">H8-G8</f>
        <v>0.2104166666666667</v>
      </c>
      <c r="N8" s="25">
        <f t="shared" si="0"/>
        <v>0.40902777777777777</v>
      </c>
      <c r="O8" s="25">
        <v>0.36666666666666697</v>
      </c>
      <c r="P8" s="27">
        <f>N8-O8</f>
        <v>4.2361111111110794E-2</v>
      </c>
    </row>
    <row r="9" spans="1:16">
      <c r="A9" s="1">
        <v>85</v>
      </c>
      <c r="B9" s="1" t="s">
        <v>84</v>
      </c>
      <c r="C9" s="1"/>
      <c r="D9" s="2">
        <v>45966</v>
      </c>
      <c r="E9" s="3">
        <v>0.33333333333333331</v>
      </c>
      <c r="F9" s="3">
        <v>0.54236111111111107</v>
      </c>
      <c r="G9" s="3">
        <v>0.59097222222222223</v>
      </c>
      <c r="H9" s="3">
        <v>0.80972222222222223</v>
      </c>
      <c r="I9" s="24">
        <v>0.18333333333333299</v>
      </c>
      <c r="J9" s="24">
        <f t="shared" si="2"/>
        <v>0.20902777777777776</v>
      </c>
      <c r="K9" s="48">
        <f>G9-F9</f>
        <v>4.861111111111116E-2</v>
      </c>
      <c r="L9" s="24">
        <v>0.266666666666666</v>
      </c>
      <c r="M9" s="25">
        <f t="shared" si="3"/>
        <v>0.21875</v>
      </c>
      <c r="N9" s="25">
        <f t="shared" si="0"/>
        <v>0.42777777777777776</v>
      </c>
      <c r="O9" s="25">
        <v>0.36666666666666697</v>
      </c>
      <c r="P9" s="27">
        <f>N9-O9</f>
        <v>6.1111111111110783E-2</v>
      </c>
    </row>
    <row r="10" spans="1:16">
      <c r="A10" s="1">
        <v>85</v>
      </c>
      <c r="B10" s="1" t="s">
        <v>84</v>
      </c>
      <c r="C10" s="1"/>
      <c r="D10" s="2">
        <v>45967</v>
      </c>
      <c r="E10" s="3">
        <v>0.33333333333333331</v>
      </c>
      <c r="F10" s="3">
        <v>0.5395833333333333</v>
      </c>
      <c r="G10" s="3">
        <v>0.59097222222222223</v>
      </c>
      <c r="H10" s="37">
        <v>0.75</v>
      </c>
      <c r="I10" s="24">
        <v>0.18333333333333299</v>
      </c>
      <c r="J10" s="24">
        <f t="shared" si="2"/>
        <v>0.20624999999999999</v>
      </c>
      <c r="K10" s="48">
        <f>G10-F10</f>
        <v>5.1388888888888928E-2</v>
      </c>
      <c r="L10" s="24">
        <v>0.266666666666666</v>
      </c>
      <c r="M10" s="25">
        <f t="shared" si="3"/>
        <v>0.15902777777777777</v>
      </c>
      <c r="N10" s="25">
        <f t="shared" si="0"/>
        <v>0.36527777777777776</v>
      </c>
      <c r="O10" s="25">
        <v>0.36666666666666697</v>
      </c>
      <c r="P10" s="49">
        <f t="shared" ref="P10:P11" si="4">O10-N10</f>
        <v>1.388888888889217E-3</v>
      </c>
    </row>
    <row r="11" spans="1:16">
      <c r="A11" s="1">
        <v>85</v>
      </c>
      <c r="B11" s="1" t="s">
        <v>84</v>
      </c>
      <c r="C11" s="1"/>
      <c r="D11" s="2">
        <v>45968</v>
      </c>
      <c r="E11" s="3">
        <v>0.33333333333333331</v>
      </c>
      <c r="F11" s="3">
        <v>0.53541666666666665</v>
      </c>
      <c r="G11" s="3">
        <v>0.58611111111111114</v>
      </c>
      <c r="H11" s="3">
        <v>0.75</v>
      </c>
      <c r="I11" s="24">
        <v>0.18333333333333299</v>
      </c>
      <c r="J11" s="24">
        <f t="shared" si="2"/>
        <v>0.20208333333333334</v>
      </c>
      <c r="K11" s="48">
        <f>G11-F11</f>
        <v>5.0694444444444486E-2</v>
      </c>
      <c r="L11" s="24">
        <v>0.266666666666666</v>
      </c>
      <c r="M11" s="25">
        <f t="shared" si="3"/>
        <v>0.16388888888888886</v>
      </c>
      <c r="N11" s="25">
        <f t="shared" si="0"/>
        <v>0.3659722222222222</v>
      </c>
      <c r="O11" s="25">
        <v>0.36666666666666697</v>
      </c>
      <c r="P11" s="49">
        <f t="shared" si="4"/>
        <v>6.9444444444477504E-4</v>
      </c>
    </row>
    <row r="12" spans="1:16">
      <c r="A12" s="1">
        <v>85</v>
      </c>
      <c r="B12" s="1" t="s">
        <v>84</v>
      </c>
      <c r="C12" s="1"/>
      <c r="D12" s="2">
        <v>45969</v>
      </c>
      <c r="E12" s="60" t="s">
        <v>75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</row>
    <row r="13" spans="1:16">
      <c r="A13" s="1">
        <v>85</v>
      </c>
      <c r="B13" s="1" t="s">
        <v>84</v>
      </c>
      <c r="C13" s="1"/>
      <c r="D13" s="2">
        <v>45970</v>
      </c>
      <c r="E13" s="57" t="s">
        <v>67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9"/>
    </row>
    <row r="14" spans="1:16">
      <c r="A14" s="1">
        <v>85</v>
      </c>
      <c r="B14" s="1" t="s">
        <v>84</v>
      </c>
      <c r="C14" s="1"/>
      <c r="D14" s="2">
        <v>45971</v>
      </c>
      <c r="E14" s="3">
        <v>0.33333333333333331</v>
      </c>
      <c r="F14" s="3">
        <v>0.55763888888888891</v>
      </c>
      <c r="G14" s="3">
        <v>0.6069444444444444</v>
      </c>
      <c r="H14" s="3">
        <v>0.77152777777777781</v>
      </c>
      <c r="I14" s="24">
        <v>0.18333333333333332</v>
      </c>
      <c r="J14" s="24">
        <f>F14-E14</f>
        <v>0.22430555555555559</v>
      </c>
      <c r="K14" s="48">
        <f>G14-F14</f>
        <v>4.9305555555555491E-2</v>
      </c>
      <c r="L14" s="24">
        <v>0.18333333333333332</v>
      </c>
      <c r="M14" s="25">
        <f>H14-G14</f>
        <v>0.16458333333333341</v>
      </c>
      <c r="N14" s="25">
        <f t="shared" ref="N14:N19" si="5">M14+J14</f>
        <v>0.38888888888888901</v>
      </c>
      <c r="O14" s="25">
        <f t="shared" ref="O14" si="6">I14+L14</f>
        <v>0.36666666666666664</v>
      </c>
      <c r="P14" s="27">
        <f t="shared" ref="P14:P19" si="7">N14-O14</f>
        <v>2.2222222222222365E-2</v>
      </c>
    </row>
    <row r="15" spans="1:16">
      <c r="A15" s="1">
        <v>85</v>
      </c>
      <c r="B15" s="1" t="s">
        <v>84</v>
      </c>
      <c r="C15" s="1"/>
      <c r="D15" s="2">
        <v>45972</v>
      </c>
      <c r="E15" s="3">
        <v>0.33333333333333331</v>
      </c>
      <c r="F15" s="3">
        <v>0.50208333333333333</v>
      </c>
      <c r="G15" s="3">
        <v>0.55208333333333337</v>
      </c>
      <c r="H15" s="3">
        <v>0.75486111111111109</v>
      </c>
      <c r="I15" s="24">
        <v>0.18333333333333299</v>
      </c>
      <c r="J15" s="24">
        <f t="shared" ref="J15:J19" si="8">F15-E15</f>
        <v>0.16875000000000001</v>
      </c>
      <c r="K15" s="48">
        <f>G15-F15</f>
        <v>5.0000000000000044E-2</v>
      </c>
      <c r="L15" s="24">
        <v>0.266666666666666</v>
      </c>
      <c r="M15" s="25">
        <f t="shared" ref="M15:M19" si="9">H15-G15</f>
        <v>0.20277777777777772</v>
      </c>
      <c r="N15" s="25">
        <f t="shared" si="5"/>
        <v>0.37152777777777773</v>
      </c>
      <c r="O15" s="25">
        <v>0.36666666666666697</v>
      </c>
      <c r="P15" s="27">
        <f t="shared" si="7"/>
        <v>4.8611111111107608E-3</v>
      </c>
    </row>
    <row r="16" spans="1:16">
      <c r="A16" s="1">
        <v>85</v>
      </c>
      <c r="B16" s="1" t="s">
        <v>84</v>
      </c>
      <c r="C16" s="1"/>
      <c r="D16" s="2">
        <v>45973</v>
      </c>
      <c r="E16" s="3">
        <v>0.33333333333333331</v>
      </c>
      <c r="F16" s="3">
        <v>0.5</v>
      </c>
      <c r="G16" s="3">
        <v>0.55000000000000004</v>
      </c>
      <c r="H16" s="3">
        <v>0.75</v>
      </c>
      <c r="I16" s="24">
        <v>0.18333333333333299</v>
      </c>
      <c r="J16" s="24">
        <f t="shared" si="8"/>
        <v>0.16666666666666669</v>
      </c>
      <c r="K16" s="48">
        <f>G16-F16</f>
        <v>5.0000000000000044E-2</v>
      </c>
      <c r="L16" s="24">
        <v>0.266666666666666</v>
      </c>
      <c r="M16" s="25">
        <f t="shared" si="9"/>
        <v>0.19999999999999996</v>
      </c>
      <c r="N16" s="25">
        <f t="shared" si="5"/>
        <v>0.36666666666666664</v>
      </c>
      <c r="O16" s="25">
        <v>0.36666666666666697</v>
      </c>
      <c r="P16" s="27">
        <f t="shared" si="7"/>
        <v>0</v>
      </c>
    </row>
    <row r="17" spans="1:17">
      <c r="A17" s="1">
        <v>85</v>
      </c>
      <c r="B17" s="1" t="s">
        <v>84</v>
      </c>
      <c r="C17" s="1"/>
      <c r="D17" s="2">
        <v>45974</v>
      </c>
      <c r="E17" s="3">
        <v>0.33333333333333331</v>
      </c>
      <c r="F17" s="3">
        <v>0.50208333333333333</v>
      </c>
      <c r="G17" s="3">
        <v>0.55138888888888893</v>
      </c>
      <c r="H17" s="3">
        <v>0.75</v>
      </c>
      <c r="I17" s="24">
        <v>0.18333333333333299</v>
      </c>
      <c r="J17" s="24">
        <f t="shared" si="8"/>
        <v>0.16875000000000001</v>
      </c>
      <c r="K17" s="48">
        <f>G17-F17</f>
        <v>4.9305555555555602E-2</v>
      </c>
      <c r="L17" s="24">
        <v>0.266666666666666</v>
      </c>
      <c r="M17" s="25">
        <f t="shared" si="9"/>
        <v>0.19861111111111107</v>
      </c>
      <c r="N17" s="25">
        <f t="shared" si="5"/>
        <v>0.36736111111111108</v>
      </c>
      <c r="O17" s="25">
        <v>0.36666666666666697</v>
      </c>
      <c r="P17" s="27">
        <f t="shared" si="7"/>
        <v>6.9444444444410891E-4</v>
      </c>
    </row>
    <row r="18" spans="1:17">
      <c r="A18" s="1">
        <v>85</v>
      </c>
      <c r="B18" s="1" t="s">
        <v>84</v>
      </c>
      <c r="C18" s="1"/>
      <c r="D18" s="2">
        <v>45975</v>
      </c>
      <c r="E18" s="3">
        <v>0.33333333333333331</v>
      </c>
      <c r="F18" s="3">
        <v>0.53541666666666665</v>
      </c>
      <c r="G18" s="3">
        <v>0.58472222222222225</v>
      </c>
      <c r="H18" s="3">
        <v>0.75</v>
      </c>
      <c r="I18" s="24">
        <v>0.18333333333333299</v>
      </c>
      <c r="J18" s="24">
        <f t="shared" si="8"/>
        <v>0.20208333333333334</v>
      </c>
      <c r="K18" s="48">
        <f>G18-F18</f>
        <v>4.9305555555555602E-2</v>
      </c>
      <c r="L18" s="24">
        <v>0.266666666666666</v>
      </c>
      <c r="M18" s="25">
        <f t="shared" si="9"/>
        <v>0.16527777777777775</v>
      </c>
      <c r="N18" s="25">
        <f t="shared" si="5"/>
        <v>0.36736111111111108</v>
      </c>
      <c r="O18" s="25">
        <v>0.36666666666666697</v>
      </c>
      <c r="P18" s="27">
        <f t="shared" si="7"/>
        <v>6.9444444444410891E-4</v>
      </c>
    </row>
    <row r="19" spans="1:17">
      <c r="A19" s="1">
        <v>85</v>
      </c>
      <c r="B19" s="1" t="s">
        <v>84</v>
      </c>
      <c r="C19" s="1"/>
      <c r="D19" s="2">
        <v>45976</v>
      </c>
      <c r="E19" s="3">
        <v>0.33333333333333331</v>
      </c>
      <c r="F19" s="3">
        <v>0.5</v>
      </c>
      <c r="G19" s="3">
        <v>0</v>
      </c>
      <c r="H19" s="3">
        <v>0</v>
      </c>
      <c r="I19" s="24">
        <v>0.18333333333333299</v>
      </c>
      <c r="J19" s="24">
        <f t="shared" si="8"/>
        <v>0.16666666666666669</v>
      </c>
      <c r="K19" s="48">
        <f>G19-F19</f>
        <v>-0.5</v>
      </c>
      <c r="L19" s="24">
        <v>0.266666666666666</v>
      </c>
      <c r="M19" s="25">
        <f t="shared" si="9"/>
        <v>0</v>
      </c>
      <c r="N19" s="25">
        <f t="shared" si="5"/>
        <v>0.16666666666666669</v>
      </c>
      <c r="O19" s="25">
        <v>0</v>
      </c>
      <c r="P19" s="27">
        <f t="shared" si="7"/>
        <v>0.16666666666666669</v>
      </c>
      <c r="Q19" s="50" t="s">
        <v>91</v>
      </c>
    </row>
    <row r="20" spans="1:17">
      <c r="A20" s="1">
        <v>85</v>
      </c>
      <c r="B20" s="1" t="s">
        <v>84</v>
      </c>
      <c r="C20" s="1"/>
      <c r="D20" s="2">
        <v>45977</v>
      </c>
      <c r="E20" s="57" t="s">
        <v>67</v>
      </c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</row>
    <row r="21" spans="1:17">
      <c r="A21" s="1">
        <v>85</v>
      </c>
      <c r="B21" s="1" t="s">
        <v>84</v>
      </c>
      <c r="C21" s="1"/>
      <c r="D21" s="2">
        <v>45978</v>
      </c>
      <c r="E21" s="3">
        <v>0.34097222222222223</v>
      </c>
      <c r="F21" s="3">
        <v>0.53472222222222221</v>
      </c>
      <c r="G21" s="3">
        <v>0.58402777777777781</v>
      </c>
      <c r="H21" s="3">
        <v>0.75</v>
      </c>
      <c r="I21" s="24">
        <v>0.18333333333333332</v>
      </c>
      <c r="J21" s="24">
        <f>F21-E21</f>
        <v>0.19374999999999998</v>
      </c>
      <c r="K21" s="48">
        <f>G21-F21</f>
        <v>4.9305555555555602E-2</v>
      </c>
      <c r="L21" s="24">
        <v>0.18333333333333332</v>
      </c>
      <c r="M21" s="25">
        <f>H21-G21</f>
        <v>0.16597222222222219</v>
      </c>
      <c r="N21" s="25">
        <f t="shared" ref="N21:N25" si="10">M21+J21</f>
        <v>0.35972222222222217</v>
      </c>
      <c r="O21" s="25">
        <f t="shared" ref="O21" si="11">I21+L21</f>
        <v>0.36666666666666664</v>
      </c>
      <c r="P21" s="49">
        <f t="shared" ref="P21" si="12">O21-N21</f>
        <v>6.9444444444444753E-3</v>
      </c>
    </row>
    <row r="22" spans="1:17">
      <c r="A22" s="1">
        <v>85</v>
      </c>
      <c r="B22" s="1" t="s">
        <v>84</v>
      </c>
      <c r="C22" s="1"/>
      <c r="D22" s="2">
        <v>45979</v>
      </c>
      <c r="E22" s="3">
        <v>0.33333333333333331</v>
      </c>
      <c r="F22" s="3">
        <v>0.53611111111111109</v>
      </c>
      <c r="G22" s="3">
        <v>0.58611111111111114</v>
      </c>
      <c r="H22" s="3">
        <v>0.75</v>
      </c>
      <c r="I22" s="24">
        <v>0.18333333333333299</v>
      </c>
      <c r="J22" s="24">
        <f t="shared" ref="J22:J25" si="13">F22-E22</f>
        <v>0.20277777777777778</v>
      </c>
      <c r="K22" s="48">
        <f>G22-F22</f>
        <v>5.0000000000000044E-2</v>
      </c>
      <c r="L22" s="24">
        <v>0.266666666666666</v>
      </c>
      <c r="M22" s="25">
        <f t="shared" ref="M22:M25" si="14">H22-G22</f>
        <v>0.16388888888888886</v>
      </c>
      <c r="N22" s="25">
        <f t="shared" si="10"/>
        <v>0.36666666666666664</v>
      </c>
      <c r="O22" s="25">
        <v>0.36666666666666697</v>
      </c>
      <c r="P22" s="27">
        <f>N22-O22</f>
        <v>0</v>
      </c>
    </row>
    <row r="23" spans="1:17">
      <c r="A23" s="1">
        <v>85</v>
      </c>
      <c r="B23" s="1" t="s">
        <v>84</v>
      </c>
      <c r="C23" s="1"/>
      <c r="D23" s="2">
        <v>45980</v>
      </c>
      <c r="E23" s="3">
        <v>0.33333333333333331</v>
      </c>
      <c r="F23" s="3">
        <v>0.53472222222222221</v>
      </c>
      <c r="G23" s="3">
        <v>0.58472222222222225</v>
      </c>
      <c r="H23" s="3">
        <v>0.75555555555555554</v>
      </c>
      <c r="I23" s="24">
        <v>0.18333333333333299</v>
      </c>
      <c r="J23" s="24">
        <f t="shared" si="13"/>
        <v>0.2013888888888889</v>
      </c>
      <c r="K23" s="48">
        <f>G23-F23</f>
        <v>5.0000000000000044E-2</v>
      </c>
      <c r="L23" s="24">
        <v>0.266666666666666</v>
      </c>
      <c r="M23" s="25">
        <f t="shared" si="14"/>
        <v>0.17083333333333328</v>
      </c>
      <c r="N23" s="25">
        <f t="shared" si="10"/>
        <v>0.37222222222222218</v>
      </c>
      <c r="O23" s="25">
        <v>0.36666666666666697</v>
      </c>
      <c r="P23" s="27">
        <f>N23-O23</f>
        <v>5.5555555555552028E-3</v>
      </c>
    </row>
    <row r="24" spans="1:17">
      <c r="A24" s="1">
        <v>85</v>
      </c>
      <c r="B24" s="1" t="s">
        <v>84</v>
      </c>
      <c r="C24" s="1"/>
      <c r="D24" s="2">
        <v>45981</v>
      </c>
      <c r="E24" s="97" t="s">
        <v>91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9"/>
    </row>
    <row r="25" spans="1:17">
      <c r="A25" s="1">
        <v>85</v>
      </c>
      <c r="B25" s="1" t="s">
        <v>84</v>
      </c>
      <c r="C25" s="1"/>
      <c r="D25" s="2">
        <v>45982</v>
      </c>
      <c r="E25" s="3">
        <v>0.33333333333333331</v>
      </c>
      <c r="F25" s="3">
        <v>0.54027777777777775</v>
      </c>
      <c r="G25" s="3">
        <v>0.59027777777777779</v>
      </c>
      <c r="H25" s="3">
        <v>0.75</v>
      </c>
      <c r="I25" s="24">
        <v>0.18333333333333299</v>
      </c>
      <c r="J25" s="24">
        <f t="shared" si="13"/>
        <v>0.20694444444444443</v>
      </c>
      <c r="K25" s="48">
        <f>G25-F25</f>
        <v>5.0000000000000044E-2</v>
      </c>
      <c r="L25" s="24">
        <v>0.266666666666666</v>
      </c>
      <c r="M25" s="25">
        <f t="shared" si="14"/>
        <v>0.15972222222222221</v>
      </c>
      <c r="N25" s="25">
        <f t="shared" si="10"/>
        <v>0.36666666666666664</v>
      </c>
      <c r="O25" s="25">
        <v>0.36666666666666697</v>
      </c>
      <c r="P25" s="27">
        <f>N25-O25</f>
        <v>0</v>
      </c>
    </row>
    <row r="26" spans="1:17">
      <c r="A26" s="1">
        <v>85</v>
      </c>
      <c r="B26" s="1" t="s">
        <v>84</v>
      </c>
      <c r="C26" s="1"/>
      <c r="D26" s="2">
        <v>45983</v>
      </c>
      <c r="E26" s="60" t="s">
        <v>75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2"/>
    </row>
    <row r="27" spans="1:17">
      <c r="A27" s="1">
        <v>85</v>
      </c>
      <c r="B27" s="1" t="s">
        <v>84</v>
      </c>
      <c r="C27" s="1"/>
      <c r="D27" s="2">
        <v>45984</v>
      </c>
      <c r="E27" s="57" t="s">
        <v>67</v>
      </c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9"/>
    </row>
    <row r="28" spans="1:17">
      <c r="A28" s="1">
        <v>85</v>
      </c>
      <c r="B28" s="1" t="s">
        <v>84</v>
      </c>
      <c r="C28" s="1"/>
      <c r="D28" s="2">
        <v>45985</v>
      </c>
      <c r="E28" s="3">
        <v>0.33333333333333331</v>
      </c>
      <c r="F28" s="3">
        <v>0.53333333333333333</v>
      </c>
      <c r="G28" s="3">
        <v>0.58333333333333337</v>
      </c>
      <c r="H28" s="3">
        <v>0.75</v>
      </c>
      <c r="I28" s="24">
        <v>0.18333333333333332</v>
      </c>
      <c r="J28" s="24">
        <f>F28-E28</f>
        <v>0.2</v>
      </c>
      <c r="K28" s="48">
        <f>G28-F28</f>
        <v>5.0000000000000044E-2</v>
      </c>
      <c r="L28" s="24">
        <v>0.18333333333333332</v>
      </c>
      <c r="M28" s="25">
        <f>H28-G28</f>
        <v>0.16666666666666663</v>
      </c>
      <c r="N28" s="25">
        <f t="shared" ref="N28:N32" si="15">M28+J28</f>
        <v>0.36666666666666664</v>
      </c>
      <c r="O28" s="25">
        <f t="shared" ref="O28" si="16">I28+L28</f>
        <v>0.36666666666666664</v>
      </c>
      <c r="P28" s="27">
        <f>N28-O28</f>
        <v>0</v>
      </c>
    </row>
    <row r="29" spans="1:17">
      <c r="A29" s="1">
        <v>85</v>
      </c>
      <c r="B29" s="1" t="s">
        <v>84</v>
      </c>
      <c r="C29" s="1"/>
      <c r="D29" s="2">
        <v>45986</v>
      </c>
      <c r="E29" s="3">
        <v>0.33333333333333331</v>
      </c>
      <c r="F29" s="3">
        <v>0.53333333333333333</v>
      </c>
      <c r="G29" s="3">
        <v>0.58402777777777781</v>
      </c>
      <c r="H29" s="3">
        <v>0.75</v>
      </c>
      <c r="I29" s="24">
        <v>0.18333333333333299</v>
      </c>
      <c r="J29" s="24">
        <f t="shared" ref="J29:J32" si="17">F29-E29</f>
        <v>0.2</v>
      </c>
      <c r="K29" s="48">
        <f>G29-F29</f>
        <v>5.0694444444444486E-2</v>
      </c>
      <c r="L29" s="24">
        <v>0.266666666666666</v>
      </c>
      <c r="M29" s="25">
        <f t="shared" ref="M29:M32" si="18">H29-G29</f>
        <v>0.16597222222222219</v>
      </c>
      <c r="N29" s="25">
        <f t="shared" si="15"/>
        <v>0.3659722222222222</v>
      </c>
      <c r="O29" s="25">
        <v>0.36666666666666697</v>
      </c>
      <c r="P29" s="49">
        <f t="shared" ref="P29:P31" si="19">O29-N29</f>
        <v>6.9444444444477504E-4</v>
      </c>
    </row>
    <row r="30" spans="1:17">
      <c r="A30" s="1">
        <v>85</v>
      </c>
      <c r="B30" s="1" t="s">
        <v>84</v>
      </c>
      <c r="C30" s="1"/>
      <c r="D30" s="2">
        <v>45987</v>
      </c>
      <c r="E30" s="3">
        <v>0.34444444444444444</v>
      </c>
      <c r="F30" s="3">
        <v>0.53402777777777777</v>
      </c>
      <c r="G30" s="3">
        <v>0.58333333333333337</v>
      </c>
      <c r="H30" s="3">
        <v>0.75</v>
      </c>
      <c r="I30" s="24">
        <v>0.18333333333333299</v>
      </c>
      <c r="J30" s="24">
        <f t="shared" si="17"/>
        <v>0.18958333333333333</v>
      </c>
      <c r="K30" s="48">
        <f>G30-F30</f>
        <v>4.9305555555555602E-2</v>
      </c>
      <c r="L30" s="24">
        <v>0.266666666666666</v>
      </c>
      <c r="M30" s="25">
        <f t="shared" si="18"/>
        <v>0.16666666666666663</v>
      </c>
      <c r="N30" s="25">
        <f t="shared" si="15"/>
        <v>0.35624999999999996</v>
      </c>
      <c r="O30" s="25">
        <v>0.36666666666666697</v>
      </c>
      <c r="P30" s="49">
        <f t="shared" si="19"/>
        <v>1.0416666666667018E-2</v>
      </c>
    </row>
    <row r="31" spans="1:17">
      <c r="A31" s="1">
        <v>85</v>
      </c>
      <c r="B31" s="1" t="s">
        <v>84</v>
      </c>
      <c r="C31" s="1"/>
      <c r="D31" s="2">
        <v>45988</v>
      </c>
      <c r="E31" s="3">
        <v>0.33333333333333331</v>
      </c>
      <c r="F31" s="3">
        <v>0.53541666666666665</v>
      </c>
      <c r="G31" s="3">
        <v>0.58958333333333335</v>
      </c>
      <c r="H31" s="3">
        <v>0.75</v>
      </c>
      <c r="I31" s="24">
        <v>0.18333333333333299</v>
      </c>
      <c r="J31" s="24">
        <f t="shared" si="17"/>
        <v>0.20208333333333334</v>
      </c>
      <c r="K31" s="48">
        <f>G31-F31</f>
        <v>5.4166666666666696E-2</v>
      </c>
      <c r="L31" s="24">
        <v>0.266666666666666</v>
      </c>
      <c r="M31" s="25">
        <f t="shared" si="18"/>
        <v>0.16041666666666665</v>
      </c>
      <c r="N31" s="25">
        <f t="shared" si="15"/>
        <v>0.36249999999999999</v>
      </c>
      <c r="O31" s="25">
        <v>0.36666666666666697</v>
      </c>
      <c r="P31" s="49">
        <f t="shared" si="19"/>
        <v>4.1666666666669849E-3</v>
      </c>
    </row>
    <row r="32" spans="1:17">
      <c r="A32" s="1">
        <v>85</v>
      </c>
      <c r="B32" s="1" t="s">
        <v>84</v>
      </c>
      <c r="C32" s="1"/>
      <c r="D32" s="2">
        <v>45989</v>
      </c>
      <c r="E32" s="3">
        <v>0.33333333333333331</v>
      </c>
      <c r="F32" s="3">
        <v>0.53541666666666665</v>
      </c>
      <c r="G32" s="3">
        <v>0.5854166666666667</v>
      </c>
      <c r="H32" s="3">
        <v>0.75</v>
      </c>
      <c r="I32" s="24">
        <v>0.18333333333333299</v>
      </c>
      <c r="J32" s="24">
        <f t="shared" si="17"/>
        <v>0.20208333333333334</v>
      </c>
      <c r="K32" s="48">
        <f>G32-F32</f>
        <v>5.0000000000000044E-2</v>
      </c>
      <c r="L32" s="24">
        <v>0.266666666666666</v>
      </c>
      <c r="M32" s="25">
        <f t="shared" si="18"/>
        <v>0.1645833333333333</v>
      </c>
      <c r="N32" s="25">
        <f t="shared" si="15"/>
        <v>0.36666666666666664</v>
      </c>
      <c r="O32" s="25">
        <v>0.36666666666666697</v>
      </c>
      <c r="P32" s="27">
        <f>N32-O32</f>
        <v>0</v>
      </c>
    </row>
    <row r="33" spans="1:16">
      <c r="A33" s="1">
        <v>85</v>
      </c>
      <c r="B33" s="1" t="s">
        <v>84</v>
      </c>
      <c r="C33" s="1"/>
      <c r="D33" s="2">
        <v>45990</v>
      </c>
      <c r="E33" s="3">
        <v>0.30069444444444443</v>
      </c>
      <c r="F33" s="3">
        <v>0.46388888888888891</v>
      </c>
      <c r="G33" s="3">
        <v>0</v>
      </c>
      <c r="H33" s="3">
        <v>0</v>
      </c>
      <c r="I33" s="24">
        <v>0.18333333333333299</v>
      </c>
      <c r="J33" s="24">
        <f t="shared" ref="J33" si="20">F33-E33</f>
        <v>0.16319444444444448</v>
      </c>
      <c r="K33" s="48">
        <f>G33-F33</f>
        <v>-0.46388888888888891</v>
      </c>
      <c r="L33" s="24">
        <v>0.266666666666666</v>
      </c>
      <c r="M33" s="25">
        <f t="shared" ref="M33" si="21">H33-G33</f>
        <v>0</v>
      </c>
      <c r="N33" s="25">
        <f t="shared" ref="N33" si="22">M33+J33</f>
        <v>0.16319444444444448</v>
      </c>
      <c r="O33" s="25">
        <v>0</v>
      </c>
      <c r="P33" s="27">
        <f>N33-O33</f>
        <v>0.16319444444444448</v>
      </c>
    </row>
    <row r="34" spans="1:16">
      <c r="A34" s="1">
        <v>85</v>
      </c>
      <c r="B34" s="1" t="s">
        <v>84</v>
      </c>
      <c r="C34" s="1"/>
      <c r="D34" s="2">
        <v>45991</v>
      </c>
      <c r="E34" s="57" t="s">
        <v>67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9"/>
    </row>
    <row r="35" spans="1:16">
      <c r="E35" s="45"/>
      <c r="F35" s="45"/>
      <c r="G35" s="45"/>
      <c r="H35" s="45"/>
      <c r="I35" s="46"/>
      <c r="J35" s="46"/>
      <c r="K35" s="46"/>
      <c r="L35" s="46"/>
      <c r="M35" s="15"/>
      <c r="N35" s="15"/>
      <c r="O35" s="15"/>
      <c r="P35" s="15"/>
    </row>
    <row r="36" spans="1:16">
      <c r="A36" s="4"/>
      <c r="B36" s="4"/>
      <c r="C36" s="5" t="s">
        <v>60</v>
      </c>
      <c r="D36" s="21">
        <f>SUM(P7,P8,P9,P14,P15,P16,P17,P18,P19,P22,P23,P25,P28,P32,P33)</f>
        <v>0.46874999999999817</v>
      </c>
    </row>
    <row r="37" spans="1:16">
      <c r="A37" s="4"/>
      <c r="B37" s="4"/>
      <c r="C37" s="7" t="s">
        <v>62</v>
      </c>
      <c r="D37" s="8">
        <f>P4</f>
        <v>0</v>
      </c>
      <c r="E37" s="9"/>
      <c r="F37" s="68" t="s">
        <v>61</v>
      </c>
      <c r="G37" s="68"/>
      <c r="H37" s="68"/>
      <c r="I37" s="9"/>
      <c r="J37" s="68" t="s">
        <v>68</v>
      </c>
      <c r="K37" s="68"/>
      <c r="L37" s="68"/>
      <c r="M37" s="9"/>
      <c r="N37" s="68" t="s">
        <v>69</v>
      </c>
      <c r="O37" s="68"/>
      <c r="P37" s="68"/>
    </row>
    <row r="38" spans="1:16">
      <c r="A38" s="68" t="s">
        <v>64</v>
      </c>
      <c r="B38" s="68"/>
      <c r="C38" s="10" t="s">
        <v>65</v>
      </c>
      <c r="D38" s="34">
        <f>SUM(P10,P11,P21,P29,P30,P31)</f>
        <v>2.4305555555557246E-2</v>
      </c>
      <c r="E38" s="9"/>
      <c r="F38" s="11"/>
      <c r="G38" s="67" t="s">
        <v>63</v>
      </c>
      <c r="H38" s="67"/>
      <c r="I38" s="9"/>
      <c r="J38" s="66" t="s">
        <v>70</v>
      </c>
      <c r="K38" s="66"/>
      <c r="L38" s="21">
        <v>7.4305555555555555E-2</v>
      </c>
      <c r="M38" s="9"/>
      <c r="N38" s="67" t="s">
        <v>77</v>
      </c>
      <c r="O38" s="67"/>
      <c r="P38" s="31">
        <f>L38</f>
        <v>7.4305555555555555E-2</v>
      </c>
    </row>
    <row r="39" spans="1:16">
      <c r="A39" s="13"/>
      <c r="B39" s="13"/>
      <c r="C39" s="47" t="s">
        <v>78</v>
      </c>
      <c r="D39" s="14">
        <v>0</v>
      </c>
      <c r="E39" s="15"/>
      <c r="F39" s="16"/>
      <c r="G39" s="67" t="s">
        <v>60</v>
      </c>
      <c r="H39" s="67"/>
      <c r="I39" s="9"/>
      <c r="J39" s="66" t="s">
        <v>92</v>
      </c>
      <c r="K39" s="66"/>
      <c r="L39" s="32">
        <v>0.44444444444444442</v>
      </c>
      <c r="M39" s="9"/>
      <c r="N39" s="67" t="s">
        <v>93</v>
      </c>
      <c r="O39" s="67"/>
      <c r="P39" s="32">
        <v>0.44444444444444442</v>
      </c>
    </row>
    <row r="40" spans="1:16">
      <c r="A40" s="9"/>
      <c r="B40" s="9"/>
      <c r="C40" s="17"/>
      <c r="D40" s="18"/>
      <c r="E40" s="9"/>
      <c r="F40" s="19"/>
      <c r="G40" s="12" t="s">
        <v>65</v>
      </c>
      <c r="H40" s="12"/>
      <c r="I40" s="9"/>
      <c r="J40" s="63" t="s">
        <v>81</v>
      </c>
      <c r="K40" s="64"/>
      <c r="L40" s="14">
        <v>0</v>
      </c>
      <c r="M40" s="9"/>
      <c r="N40" s="65" t="s">
        <v>72</v>
      </c>
      <c r="O40" s="65"/>
      <c r="P40" s="21">
        <f>P39+P38</f>
        <v>0.51874999999999993</v>
      </c>
    </row>
    <row r="41" spans="1:16">
      <c r="A41" s="9"/>
      <c r="B41" s="9"/>
      <c r="C41" s="20" t="s">
        <v>66</v>
      </c>
      <c r="D41" s="32">
        <f>SUM(-D38,D36)</f>
        <v>0.44444444444444092</v>
      </c>
      <c r="E41" s="9"/>
      <c r="F41" s="22"/>
      <c r="G41" s="12" t="s">
        <v>79</v>
      </c>
      <c r="H41" s="12"/>
      <c r="I41" s="9"/>
      <c r="J41" s="66"/>
      <c r="K41" s="66"/>
      <c r="L41" s="28">
        <v>0</v>
      </c>
      <c r="M41" s="9"/>
      <c r="N41" s="67" t="s">
        <v>73</v>
      </c>
      <c r="O41" s="67"/>
      <c r="P41" s="29">
        <v>0</v>
      </c>
    </row>
    <row r="42" spans="1:16">
      <c r="E42" s="9"/>
      <c r="F42" s="23"/>
      <c r="G42" s="67" t="s">
        <v>71</v>
      </c>
      <c r="H42" s="67"/>
      <c r="I42" s="9"/>
      <c r="J42" s="65"/>
      <c r="K42" s="65"/>
      <c r="L42" s="30">
        <v>0</v>
      </c>
      <c r="M42" s="9"/>
      <c r="N42" s="65" t="s">
        <v>74</v>
      </c>
      <c r="O42" s="65"/>
      <c r="P42" s="21">
        <f>P40</f>
        <v>0.51874999999999993</v>
      </c>
    </row>
    <row r="44" spans="1:16">
      <c r="J44" s="53" t="s">
        <v>80</v>
      </c>
      <c r="K44" s="53"/>
    </row>
    <row r="45" spans="1:16">
      <c r="J45" s="53"/>
      <c r="K45" s="53"/>
    </row>
  </sheetData>
  <mergeCells count="44">
    <mergeCell ref="J44:K45"/>
    <mergeCell ref="E5:P5"/>
    <mergeCell ref="E6:P6"/>
    <mergeCell ref="E12:P12"/>
    <mergeCell ref="E13:P13"/>
    <mergeCell ref="E20:P20"/>
    <mergeCell ref="E24:P24"/>
    <mergeCell ref="E26:P26"/>
    <mergeCell ref="E27:P27"/>
    <mergeCell ref="J40:K40"/>
    <mergeCell ref="N40:O40"/>
    <mergeCell ref="J41:K41"/>
    <mergeCell ref="N41:O41"/>
    <mergeCell ref="G42:H42"/>
    <mergeCell ref="J42:K42"/>
    <mergeCell ref="N42:O42"/>
    <mergeCell ref="A38:B38"/>
    <mergeCell ref="G38:H38"/>
    <mergeCell ref="J38:K38"/>
    <mergeCell ref="N38:O38"/>
    <mergeCell ref="G39:H39"/>
    <mergeCell ref="J39:K39"/>
    <mergeCell ref="N39:O39"/>
    <mergeCell ref="F37:H37"/>
    <mergeCell ref="J37:L37"/>
    <mergeCell ref="N37:P37"/>
    <mergeCell ref="E34:P34"/>
    <mergeCell ref="P3:P4"/>
    <mergeCell ref="J3:J4"/>
    <mergeCell ref="K3:K4"/>
    <mergeCell ref="L3:L4"/>
    <mergeCell ref="M3:M4"/>
    <mergeCell ref="N3:N4"/>
    <mergeCell ref="O3:O4"/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</mergeCells>
  <pageMargins left="0.51181102362204722" right="0.51181102362204722" top="0.78740157480314965" bottom="0.78740157480314965" header="0.31496062992125984" footer="0.31496062992125984"/>
  <pageSetup paperSize="9" scale="79" orientation="landscape" horizontalDpi="4294967294" verticalDpi="0" r:id="rId1"/>
  <ignoredErrors>
    <ignoredError sqref="P29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33B2-AE2C-479B-907D-D150F32996F0}">
  <sheetPr>
    <pageSetUpPr fitToPage="1"/>
  </sheetPr>
  <dimension ref="A1:Q46"/>
  <sheetViews>
    <sheetView topLeftCell="A8" workbookViewId="0">
      <selection sqref="A1:P47"/>
    </sheetView>
  </sheetViews>
  <sheetFormatPr defaultRowHeight="12.75"/>
  <cols>
    <col min="1" max="1" width="10.140625" customWidth="1"/>
    <col min="2" max="2" width="11.7109375" customWidth="1"/>
    <col min="3" max="3" width="16.42578125" customWidth="1"/>
    <col min="4" max="4" width="12.5703125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88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45992</v>
      </c>
      <c r="E5" s="3">
        <v>0.33333333333333331</v>
      </c>
      <c r="F5" s="3">
        <v>0.53125</v>
      </c>
      <c r="G5" s="3">
        <v>0.58125000000000004</v>
      </c>
      <c r="H5" s="3">
        <v>0.75</v>
      </c>
      <c r="I5" s="24">
        <v>0.18333333333333332</v>
      </c>
      <c r="J5" s="24">
        <f>F5-E5</f>
        <v>0.19791666666666669</v>
      </c>
      <c r="K5" s="48">
        <f>G5-F5</f>
        <v>5.0000000000000044E-2</v>
      </c>
      <c r="L5" s="24">
        <v>0.18333333333333332</v>
      </c>
      <c r="M5" s="25">
        <f>H5-G5</f>
        <v>0.16874999999999996</v>
      </c>
      <c r="N5" s="25">
        <f t="shared" ref="N5:N9" si="0">M5+J5</f>
        <v>0.36666666666666664</v>
      </c>
      <c r="O5" s="25">
        <f t="shared" ref="O5" si="1">I5+L5</f>
        <v>0.36666666666666664</v>
      </c>
      <c r="P5" s="27">
        <f>N5-O5</f>
        <v>0</v>
      </c>
    </row>
    <row r="6" spans="1:16">
      <c r="A6" s="1">
        <v>85</v>
      </c>
      <c r="B6" s="1" t="s">
        <v>84</v>
      </c>
      <c r="C6" s="1"/>
      <c r="D6" s="2">
        <v>45993</v>
      </c>
      <c r="E6" s="3">
        <v>0.33333333333333331</v>
      </c>
      <c r="F6" s="3">
        <v>0.53125</v>
      </c>
      <c r="G6" s="3">
        <v>0.58125000000000004</v>
      </c>
      <c r="H6" s="3">
        <v>0.75</v>
      </c>
      <c r="I6" s="24">
        <v>0.18333333333333299</v>
      </c>
      <c r="J6" s="24">
        <f t="shared" ref="J6:J9" si="2">F6-E6</f>
        <v>0.19791666666666669</v>
      </c>
      <c r="K6" s="48">
        <f>G6-F6</f>
        <v>5.0000000000000044E-2</v>
      </c>
      <c r="L6" s="24">
        <v>0.266666666666666</v>
      </c>
      <c r="M6" s="25">
        <f t="shared" ref="M6:M9" si="3">H6-G6</f>
        <v>0.16874999999999996</v>
      </c>
      <c r="N6" s="25">
        <f t="shared" si="0"/>
        <v>0.36666666666666664</v>
      </c>
      <c r="O6" s="25">
        <v>0.36666666666666697</v>
      </c>
      <c r="P6" s="27">
        <f>N6-O6</f>
        <v>0</v>
      </c>
    </row>
    <row r="7" spans="1:16">
      <c r="A7" s="1">
        <v>85</v>
      </c>
      <c r="B7" s="1" t="s">
        <v>84</v>
      </c>
      <c r="C7" s="1"/>
      <c r="D7" s="2">
        <v>45994</v>
      </c>
      <c r="E7" s="3">
        <v>0.33333333333333331</v>
      </c>
      <c r="F7" s="3">
        <v>0.53125</v>
      </c>
      <c r="G7" s="3">
        <v>0.58125000000000004</v>
      </c>
      <c r="H7" s="3">
        <v>0.75</v>
      </c>
      <c r="I7" s="24">
        <v>0.18333333333333299</v>
      </c>
      <c r="J7" s="24">
        <f t="shared" si="2"/>
        <v>0.19791666666666669</v>
      </c>
      <c r="K7" s="48">
        <f>G7-F7</f>
        <v>5.0000000000000044E-2</v>
      </c>
      <c r="L7" s="24">
        <v>0.266666666666666</v>
      </c>
      <c r="M7" s="25">
        <f t="shared" si="3"/>
        <v>0.16874999999999996</v>
      </c>
      <c r="N7" s="25">
        <f t="shared" si="0"/>
        <v>0.36666666666666664</v>
      </c>
      <c r="O7" s="25">
        <v>0.36666666666666697</v>
      </c>
      <c r="P7" s="27">
        <f>N7-O7</f>
        <v>0</v>
      </c>
    </row>
    <row r="8" spans="1:16">
      <c r="A8" s="1">
        <v>85</v>
      </c>
      <c r="B8" s="1" t="s">
        <v>84</v>
      </c>
      <c r="C8" s="1"/>
      <c r="D8" s="2">
        <v>45995</v>
      </c>
      <c r="E8" s="3">
        <v>0.33333333333333331</v>
      </c>
      <c r="F8" s="3">
        <v>0.53125</v>
      </c>
      <c r="G8" s="3">
        <v>0.58125000000000004</v>
      </c>
      <c r="H8" s="3">
        <v>0.79166666666666663</v>
      </c>
      <c r="I8" s="24">
        <v>0.18333333333333299</v>
      </c>
      <c r="J8" s="24">
        <f t="shared" si="2"/>
        <v>0.19791666666666669</v>
      </c>
      <c r="K8" s="48">
        <f>G8-F8</f>
        <v>5.0000000000000044E-2</v>
      </c>
      <c r="L8" s="24">
        <v>0.266666666666666</v>
      </c>
      <c r="M8" s="25">
        <f t="shared" si="3"/>
        <v>0.21041666666666659</v>
      </c>
      <c r="N8" s="25">
        <f t="shared" si="0"/>
        <v>0.40833333333333327</v>
      </c>
      <c r="O8" s="25">
        <v>0.36666666666666697</v>
      </c>
      <c r="P8" s="27">
        <f>N8-O8</f>
        <v>4.1666666666666297E-2</v>
      </c>
    </row>
    <row r="9" spans="1:16">
      <c r="A9" s="1">
        <v>85</v>
      </c>
      <c r="B9" s="1" t="s">
        <v>84</v>
      </c>
      <c r="C9" s="1"/>
      <c r="D9" s="2">
        <v>45996</v>
      </c>
      <c r="E9" s="3">
        <v>0.33333333333333331</v>
      </c>
      <c r="F9" s="3">
        <v>0.53125</v>
      </c>
      <c r="G9" s="3">
        <v>0.58125000000000004</v>
      </c>
      <c r="H9" s="3">
        <v>0.75</v>
      </c>
      <c r="I9" s="24">
        <v>0.18333333333333299</v>
      </c>
      <c r="J9" s="24">
        <f t="shared" si="2"/>
        <v>0.19791666666666669</v>
      </c>
      <c r="K9" s="48">
        <f>G9-F9</f>
        <v>5.0000000000000044E-2</v>
      </c>
      <c r="L9" s="24">
        <v>0.266666666666666</v>
      </c>
      <c r="M9" s="25">
        <f t="shared" si="3"/>
        <v>0.16874999999999996</v>
      </c>
      <c r="N9" s="25">
        <f t="shared" si="0"/>
        <v>0.36666666666666664</v>
      </c>
      <c r="O9" s="25">
        <v>0.36666666666666697</v>
      </c>
      <c r="P9" s="27">
        <f>N9-O9</f>
        <v>0</v>
      </c>
    </row>
    <row r="10" spans="1:16">
      <c r="A10" s="1">
        <v>85</v>
      </c>
      <c r="B10" s="1" t="s">
        <v>84</v>
      </c>
      <c r="C10" s="1"/>
      <c r="D10" s="2">
        <v>45997</v>
      </c>
      <c r="E10" s="60" t="s">
        <v>75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2"/>
    </row>
    <row r="11" spans="1:16">
      <c r="A11" s="1">
        <v>85</v>
      </c>
      <c r="B11" s="1" t="s">
        <v>84</v>
      </c>
      <c r="C11" s="1"/>
      <c r="D11" s="2">
        <v>45998</v>
      </c>
      <c r="E11" s="57" t="s">
        <v>67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9"/>
    </row>
    <row r="12" spans="1:16">
      <c r="A12" s="1">
        <v>85</v>
      </c>
      <c r="B12" s="1" t="s">
        <v>84</v>
      </c>
      <c r="C12" s="1"/>
      <c r="D12" s="2">
        <v>45999</v>
      </c>
      <c r="E12" s="3">
        <v>0.33333333333333331</v>
      </c>
      <c r="F12" s="3">
        <v>0.53125</v>
      </c>
      <c r="G12" s="3">
        <v>0.58125000000000004</v>
      </c>
      <c r="H12" s="3">
        <v>0.82638888888888884</v>
      </c>
      <c r="I12" s="24">
        <v>0.18333333333333332</v>
      </c>
      <c r="J12" s="24">
        <f>F12-E12</f>
        <v>0.19791666666666669</v>
      </c>
      <c r="K12" s="48">
        <f>G12-F12</f>
        <v>5.0000000000000044E-2</v>
      </c>
      <c r="L12" s="24">
        <v>0.18333333333333332</v>
      </c>
      <c r="M12" s="25">
        <f>H12-G12</f>
        <v>0.2451388888888888</v>
      </c>
      <c r="N12" s="25">
        <f t="shared" ref="N12:N16" si="4">M12+J12</f>
        <v>0.44305555555555548</v>
      </c>
      <c r="O12" s="25">
        <f t="shared" ref="O12" si="5">I12+L12</f>
        <v>0.36666666666666664</v>
      </c>
      <c r="P12" s="27">
        <f>N12-O12</f>
        <v>7.638888888888884E-2</v>
      </c>
    </row>
    <row r="13" spans="1:16">
      <c r="A13" s="1">
        <v>85</v>
      </c>
      <c r="B13" s="1" t="s">
        <v>84</v>
      </c>
      <c r="C13" s="1"/>
      <c r="D13" s="2">
        <v>46000</v>
      </c>
      <c r="E13" s="3">
        <v>0.33333333333333331</v>
      </c>
      <c r="F13" s="3">
        <v>0.53125</v>
      </c>
      <c r="G13" s="3">
        <v>0.58125000000000004</v>
      </c>
      <c r="H13" s="3">
        <v>0.75</v>
      </c>
      <c r="I13" s="24">
        <v>0.18333333333333299</v>
      </c>
      <c r="J13" s="24">
        <f t="shared" ref="J13:J16" si="6">F13-E13</f>
        <v>0.19791666666666669</v>
      </c>
      <c r="K13" s="48">
        <f>G13-F13</f>
        <v>5.0000000000000044E-2</v>
      </c>
      <c r="L13" s="24">
        <v>0.266666666666666</v>
      </c>
      <c r="M13" s="25">
        <f t="shared" ref="M13:M16" si="7">H13-G13</f>
        <v>0.16874999999999996</v>
      </c>
      <c r="N13" s="25">
        <f t="shared" si="4"/>
        <v>0.36666666666666664</v>
      </c>
      <c r="O13" s="25">
        <v>0.36666666666666697</v>
      </c>
      <c r="P13" s="27">
        <f>N13-O13</f>
        <v>0</v>
      </c>
    </row>
    <row r="14" spans="1:16">
      <c r="A14" s="1">
        <v>85</v>
      </c>
      <c r="B14" s="1" t="s">
        <v>84</v>
      </c>
      <c r="C14" s="1"/>
      <c r="D14" s="2">
        <v>46001</v>
      </c>
      <c r="E14" s="3">
        <v>0.33333333333333331</v>
      </c>
      <c r="F14" s="3">
        <v>0.53125</v>
      </c>
      <c r="G14" s="3">
        <v>0.58125000000000004</v>
      </c>
      <c r="H14" s="3">
        <v>0.75</v>
      </c>
      <c r="I14" s="24">
        <v>0.18333333333333299</v>
      </c>
      <c r="J14" s="24">
        <f t="shared" si="6"/>
        <v>0.19791666666666669</v>
      </c>
      <c r="K14" s="48">
        <f>G14-F14</f>
        <v>5.0000000000000044E-2</v>
      </c>
      <c r="L14" s="24">
        <v>0.266666666666666</v>
      </c>
      <c r="M14" s="25">
        <f t="shared" si="7"/>
        <v>0.16874999999999996</v>
      </c>
      <c r="N14" s="25">
        <f t="shared" si="4"/>
        <v>0.36666666666666664</v>
      </c>
      <c r="O14" s="25">
        <v>0.36666666666666697</v>
      </c>
      <c r="P14" s="27">
        <f>N14-O14</f>
        <v>0</v>
      </c>
    </row>
    <row r="15" spans="1:16">
      <c r="A15" s="1">
        <v>85</v>
      </c>
      <c r="B15" s="1" t="s">
        <v>84</v>
      </c>
      <c r="C15" s="1"/>
      <c r="D15" s="2">
        <v>46002</v>
      </c>
      <c r="E15" s="3">
        <v>0.33333333333333331</v>
      </c>
      <c r="F15" s="3">
        <v>0.53125</v>
      </c>
      <c r="G15" s="3">
        <v>0.58125000000000004</v>
      </c>
      <c r="H15" s="3">
        <v>0.75</v>
      </c>
      <c r="I15" s="24">
        <v>0.18333333333333299</v>
      </c>
      <c r="J15" s="24">
        <f t="shared" si="6"/>
        <v>0.19791666666666669</v>
      </c>
      <c r="K15" s="48">
        <f>G15-F15</f>
        <v>5.0000000000000044E-2</v>
      </c>
      <c r="L15" s="24">
        <v>0.266666666666666</v>
      </c>
      <c r="M15" s="25">
        <f t="shared" si="7"/>
        <v>0.16874999999999996</v>
      </c>
      <c r="N15" s="25">
        <f t="shared" si="4"/>
        <v>0.36666666666666664</v>
      </c>
      <c r="O15" s="25">
        <v>0.36666666666666697</v>
      </c>
      <c r="P15" s="27">
        <f>N15-O15</f>
        <v>0</v>
      </c>
    </row>
    <row r="16" spans="1:16">
      <c r="A16" s="1">
        <v>85</v>
      </c>
      <c r="B16" s="1" t="s">
        <v>84</v>
      </c>
      <c r="C16" s="1"/>
      <c r="D16" s="2">
        <v>46003</v>
      </c>
      <c r="E16" s="3">
        <v>0.33333333333333331</v>
      </c>
      <c r="F16" s="3">
        <v>0.53125</v>
      </c>
      <c r="G16" s="3">
        <v>0.58125000000000004</v>
      </c>
      <c r="H16" s="3">
        <v>0.75</v>
      </c>
      <c r="I16" s="24">
        <v>0.18333333333333299</v>
      </c>
      <c r="J16" s="24">
        <f t="shared" si="6"/>
        <v>0.19791666666666669</v>
      </c>
      <c r="K16" s="48">
        <f>G16-F16</f>
        <v>5.0000000000000044E-2</v>
      </c>
      <c r="L16" s="24">
        <v>0.266666666666666</v>
      </c>
      <c r="M16" s="25">
        <f t="shared" si="7"/>
        <v>0.16874999999999996</v>
      </c>
      <c r="N16" s="25">
        <f t="shared" si="4"/>
        <v>0.36666666666666664</v>
      </c>
      <c r="O16" s="25">
        <v>0.36666666666666697</v>
      </c>
      <c r="P16" s="27">
        <f>N16-O16</f>
        <v>0</v>
      </c>
    </row>
    <row r="17" spans="1:17">
      <c r="A17" s="1">
        <v>85</v>
      </c>
      <c r="B17" s="1" t="s">
        <v>84</v>
      </c>
      <c r="C17" s="1"/>
      <c r="D17" s="2">
        <v>46004</v>
      </c>
      <c r="E17" s="60" t="s">
        <v>75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2"/>
    </row>
    <row r="18" spans="1:17">
      <c r="A18" s="1">
        <v>85</v>
      </c>
      <c r="B18" s="1" t="s">
        <v>84</v>
      </c>
      <c r="C18" s="1"/>
      <c r="D18" s="2">
        <v>46005</v>
      </c>
      <c r="E18" s="57" t="s">
        <v>67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9"/>
    </row>
    <row r="19" spans="1:17">
      <c r="A19" s="1">
        <v>85</v>
      </c>
      <c r="B19" s="1" t="s">
        <v>84</v>
      </c>
      <c r="C19" s="1"/>
      <c r="D19" s="2">
        <v>46006</v>
      </c>
      <c r="E19" s="3">
        <v>0.33333333333333331</v>
      </c>
      <c r="F19" s="3">
        <v>0.53125</v>
      </c>
      <c r="G19" s="3">
        <v>0.58125000000000004</v>
      </c>
      <c r="H19" s="3">
        <v>0.75</v>
      </c>
      <c r="I19" s="24">
        <v>0.18333333333333332</v>
      </c>
      <c r="J19" s="24">
        <f>F19-E19</f>
        <v>0.19791666666666669</v>
      </c>
      <c r="K19" s="48">
        <f>G19-F19</f>
        <v>5.0000000000000044E-2</v>
      </c>
      <c r="L19" s="24">
        <v>0.18333333333333332</v>
      </c>
      <c r="M19" s="25">
        <f>H19-G19</f>
        <v>0.16874999999999996</v>
      </c>
      <c r="N19" s="25">
        <f t="shared" ref="N19:N23" si="8">M19+J19</f>
        <v>0.36666666666666664</v>
      </c>
      <c r="O19" s="25">
        <f t="shared" ref="O19" si="9">I19+L19</f>
        <v>0.36666666666666664</v>
      </c>
      <c r="P19" s="27">
        <f>N19-O19</f>
        <v>0</v>
      </c>
      <c r="Q19" s="51"/>
    </row>
    <row r="20" spans="1:17">
      <c r="A20" s="1">
        <v>85</v>
      </c>
      <c r="B20" s="1" t="s">
        <v>84</v>
      </c>
      <c r="C20" s="1"/>
      <c r="D20" s="2">
        <v>46007</v>
      </c>
      <c r="E20" s="3">
        <v>0.33333333333333331</v>
      </c>
      <c r="F20" s="3">
        <v>0.53125</v>
      </c>
      <c r="G20" s="3">
        <v>0.58125000000000004</v>
      </c>
      <c r="H20" s="3">
        <v>0.75</v>
      </c>
      <c r="I20" s="24">
        <v>0.18333333333333299</v>
      </c>
      <c r="J20" s="24">
        <f t="shared" ref="J20:J23" si="10">F20-E20</f>
        <v>0.19791666666666669</v>
      </c>
      <c r="K20" s="48">
        <f>G20-F20</f>
        <v>5.0000000000000044E-2</v>
      </c>
      <c r="L20" s="24">
        <v>0.266666666666666</v>
      </c>
      <c r="M20" s="25">
        <f t="shared" ref="M20:M23" si="11">H20-G20</f>
        <v>0.16874999999999996</v>
      </c>
      <c r="N20" s="25">
        <f t="shared" si="8"/>
        <v>0.36666666666666664</v>
      </c>
      <c r="O20" s="25">
        <v>0.36666666666666697</v>
      </c>
      <c r="P20" s="27">
        <f>N20-O20</f>
        <v>0</v>
      </c>
    </row>
    <row r="21" spans="1:17">
      <c r="A21" s="1">
        <v>85</v>
      </c>
      <c r="B21" s="1" t="s">
        <v>84</v>
      </c>
      <c r="C21" s="1"/>
      <c r="D21" s="2">
        <v>46008</v>
      </c>
      <c r="E21" s="3">
        <v>0.33333333333333331</v>
      </c>
      <c r="F21" s="3">
        <v>0.53125</v>
      </c>
      <c r="G21" s="3">
        <v>0.58125000000000004</v>
      </c>
      <c r="H21" s="3">
        <v>0.79166666666666663</v>
      </c>
      <c r="I21" s="24">
        <v>0.18333333333333299</v>
      </c>
      <c r="J21" s="24">
        <f t="shared" si="10"/>
        <v>0.19791666666666669</v>
      </c>
      <c r="K21" s="48">
        <f>G21-F21</f>
        <v>5.0000000000000044E-2</v>
      </c>
      <c r="L21" s="24">
        <v>0.266666666666666</v>
      </c>
      <c r="M21" s="25">
        <f t="shared" si="11"/>
        <v>0.21041666666666659</v>
      </c>
      <c r="N21" s="25">
        <f t="shared" si="8"/>
        <v>0.40833333333333327</v>
      </c>
      <c r="O21" s="25">
        <v>0.36666666666666697</v>
      </c>
      <c r="P21" s="27">
        <f>N21-O21</f>
        <v>4.1666666666666297E-2</v>
      </c>
    </row>
    <row r="22" spans="1:17">
      <c r="A22" s="1">
        <v>85</v>
      </c>
      <c r="B22" s="1" t="s">
        <v>84</v>
      </c>
      <c r="C22" s="1"/>
      <c r="D22" s="2">
        <v>46009</v>
      </c>
      <c r="E22" s="3">
        <v>0.33333333333333331</v>
      </c>
      <c r="F22" s="3">
        <v>0.53125</v>
      </c>
      <c r="G22" s="3">
        <v>0.58125000000000004</v>
      </c>
      <c r="H22" s="3">
        <v>0.70833333333333337</v>
      </c>
      <c r="I22" s="24">
        <v>0.18333333333333299</v>
      </c>
      <c r="J22" s="24">
        <f t="shared" si="10"/>
        <v>0.19791666666666669</v>
      </c>
      <c r="K22" s="48">
        <f>G22-F22</f>
        <v>5.0000000000000044E-2</v>
      </c>
      <c r="L22" s="24">
        <v>0.266666666666666</v>
      </c>
      <c r="M22" s="25">
        <f t="shared" si="11"/>
        <v>0.12708333333333333</v>
      </c>
      <c r="N22" s="25">
        <f t="shared" si="8"/>
        <v>0.32500000000000001</v>
      </c>
      <c r="O22" s="25">
        <v>0.36666666666666697</v>
      </c>
      <c r="P22" s="49">
        <f t="shared" ref="P22" si="12">O22-N22</f>
        <v>4.1666666666666963E-2</v>
      </c>
    </row>
    <row r="23" spans="1:17">
      <c r="A23" s="1">
        <v>85</v>
      </c>
      <c r="B23" s="1" t="s">
        <v>84</v>
      </c>
      <c r="C23" s="1"/>
      <c r="D23" s="2">
        <v>46010</v>
      </c>
      <c r="E23" s="3">
        <v>0.33333333333333331</v>
      </c>
      <c r="F23" s="3">
        <v>0.53125</v>
      </c>
      <c r="G23" s="3">
        <v>0.58125000000000004</v>
      </c>
      <c r="H23" s="3">
        <v>0.75</v>
      </c>
      <c r="I23" s="24">
        <v>0.18333333333333299</v>
      </c>
      <c r="J23" s="24">
        <f t="shared" si="10"/>
        <v>0.19791666666666669</v>
      </c>
      <c r="K23" s="48">
        <f>G23-F23</f>
        <v>5.0000000000000044E-2</v>
      </c>
      <c r="L23" s="24">
        <v>0.266666666666666</v>
      </c>
      <c r="M23" s="25">
        <f t="shared" si="11"/>
        <v>0.16874999999999996</v>
      </c>
      <c r="N23" s="25">
        <f t="shared" si="8"/>
        <v>0.36666666666666664</v>
      </c>
      <c r="O23" s="25">
        <v>0.36666666666666697</v>
      </c>
      <c r="P23" s="27">
        <f>N23-O23</f>
        <v>0</v>
      </c>
    </row>
    <row r="24" spans="1:17">
      <c r="A24" s="1">
        <v>85</v>
      </c>
      <c r="B24" s="1" t="s">
        <v>84</v>
      </c>
      <c r="C24" s="1"/>
      <c r="D24" s="2">
        <v>46011</v>
      </c>
      <c r="E24" s="60" t="s">
        <v>75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2"/>
    </row>
    <row r="25" spans="1:17">
      <c r="A25" s="1">
        <v>85</v>
      </c>
      <c r="B25" s="1" t="s">
        <v>84</v>
      </c>
      <c r="C25" s="1"/>
      <c r="D25" s="2">
        <v>46012</v>
      </c>
      <c r="E25" s="57" t="s">
        <v>67</v>
      </c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9"/>
    </row>
    <row r="26" spans="1:17">
      <c r="A26" s="1">
        <v>85</v>
      </c>
      <c r="B26" s="1" t="s">
        <v>84</v>
      </c>
      <c r="C26" s="1"/>
      <c r="D26" s="2">
        <v>46013</v>
      </c>
      <c r="E26" s="3">
        <v>0.33333333333333331</v>
      </c>
      <c r="F26" s="3">
        <v>0.53125</v>
      </c>
      <c r="G26" s="3">
        <v>0.58125000000000004</v>
      </c>
      <c r="H26" s="3">
        <v>0.75</v>
      </c>
      <c r="I26" s="24">
        <v>0.18333333333333332</v>
      </c>
      <c r="J26" s="24">
        <f>F26-E26</f>
        <v>0.19791666666666669</v>
      </c>
      <c r="K26" s="48">
        <f>G26-F26</f>
        <v>5.0000000000000044E-2</v>
      </c>
      <c r="L26" s="24">
        <v>0.18333333333333332</v>
      </c>
      <c r="M26" s="25">
        <f>H26-G26</f>
        <v>0.16874999999999996</v>
      </c>
      <c r="N26" s="25">
        <f t="shared" ref="N26:N30" si="13">M26+J26</f>
        <v>0.36666666666666664</v>
      </c>
      <c r="O26" s="25">
        <f t="shared" ref="O26" si="14">I26+L26</f>
        <v>0.36666666666666664</v>
      </c>
      <c r="P26" s="27">
        <f>N26-O26</f>
        <v>0</v>
      </c>
    </row>
    <row r="27" spans="1:17">
      <c r="A27" s="1">
        <v>85</v>
      </c>
      <c r="B27" s="1" t="s">
        <v>84</v>
      </c>
      <c r="C27" s="1"/>
      <c r="D27" s="2">
        <v>46014</v>
      </c>
      <c r="E27" s="3">
        <v>0.33333333333333331</v>
      </c>
      <c r="F27" s="3">
        <v>0.53125</v>
      </c>
      <c r="G27" s="3">
        <v>0.58125000000000004</v>
      </c>
      <c r="H27" s="3">
        <v>0.75</v>
      </c>
      <c r="I27" s="24">
        <v>0.18333333333333299</v>
      </c>
      <c r="J27" s="24">
        <f t="shared" ref="J27:J30" si="15">F27-E27</f>
        <v>0.19791666666666669</v>
      </c>
      <c r="K27" s="48">
        <f>G27-F27</f>
        <v>5.0000000000000044E-2</v>
      </c>
      <c r="L27" s="24">
        <v>0.266666666666666</v>
      </c>
      <c r="M27" s="25">
        <f t="shared" ref="M27:M30" si="16">H27-G27</f>
        <v>0.16874999999999996</v>
      </c>
      <c r="N27" s="25">
        <f t="shared" si="13"/>
        <v>0.36666666666666664</v>
      </c>
      <c r="O27" s="25">
        <v>0.36666666666666697</v>
      </c>
      <c r="P27" s="27">
        <f>N27-O27</f>
        <v>0</v>
      </c>
    </row>
    <row r="28" spans="1:17">
      <c r="A28" s="1">
        <v>85</v>
      </c>
      <c r="B28" s="1" t="s">
        <v>84</v>
      </c>
      <c r="C28" s="1"/>
      <c r="D28" s="2">
        <v>46015</v>
      </c>
      <c r="E28" s="3">
        <v>0</v>
      </c>
      <c r="F28" s="3">
        <v>0</v>
      </c>
      <c r="G28" s="3">
        <v>0</v>
      </c>
      <c r="H28" s="3">
        <v>0</v>
      </c>
      <c r="I28" s="24">
        <v>0.18333333333333299</v>
      </c>
      <c r="J28" s="24">
        <f t="shared" si="15"/>
        <v>0</v>
      </c>
      <c r="K28" s="48">
        <f>G28-F28</f>
        <v>0</v>
      </c>
      <c r="L28" s="24">
        <v>0.266666666666666</v>
      </c>
      <c r="M28" s="25">
        <f t="shared" si="16"/>
        <v>0</v>
      </c>
      <c r="N28" s="25">
        <f t="shared" si="13"/>
        <v>0</v>
      </c>
      <c r="O28" s="25">
        <v>0.36666666666666697</v>
      </c>
      <c r="P28" s="49">
        <f t="shared" ref="P28" si="17">O28-N28</f>
        <v>0.36666666666666697</v>
      </c>
      <c r="Q28" s="50" t="s">
        <v>94</v>
      </c>
    </row>
    <row r="29" spans="1:17">
      <c r="A29" s="1">
        <v>85</v>
      </c>
      <c r="B29" s="1" t="s">
        <v>84</v>
      </c>
      <c r="C29" s="1"/>
      <c r="D29" s="2">
        <v>46016</v>
      </c>
      <c r="E29" s="60" t="s">
        <v>91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2"/>
    </row>
    <row r="30" spans="1:17">
      <c r="A30" s="1">
        <v>85</v>
      </c>
      <c r="B30" s="1" t="s">
        <v>84</v>
      </c>
      <c r="C30" s="1"/>
      <c r="D30" s="2">
        <v>46017</v>
      </c>
      <c r="E30" s="3">
        <v>0.33333333333333331</v>
      </c>
      <c r="F30" s="3">
        <v>0.53125</v>
      </c>
      <c r="G30" s="3">
        <v>0.58125000000000004</v>
      </c>
      <c r="H30" s="3">
        <v>0.75</v>
      </c>
      <c r="I30" s="24">
        <v>0.18333333333333299</v>
      </c>
      <c r="J30" s="24">
        <f t="shared" si="15"/>
        <v>0.19791666666666669</v>
      </c>
      <c r="K30" s="48">
        <f>G30-F30</f>
        <v>5.0000000000000044E-2</v>
      </c>
      <c r="L30" s="24">
        <v>0.266666666666666</v>
      </c>
      <c r="M30" s="25">
        <f t="shared" si="16"/>
        <v>0.16874999999999996</v>
      </c>
      <c r="N30" s="25">
        <f t="shared" si="13"/>
        <v>0.36666666666666664</v>
      </c>
      <c r="O30" s="25">
        <v>0.36666666666666697</v>
      </c>
      <c r="P30" s="27">
        <f>N30-O30</f>
        <v>0</v>
      </c>
    </row>
    <row r="31" spans="1:17">
      <c r="A31" s="1">
        <v>85</v>
      </c>
      <c r="B31" s="1" t="s">
        <v>84</v>
      </c>
      <c r="C31" s="1"/>
      <c r="D31" s="2">
        <v>46018</v>
      </c>
      <c r="E31" s="60" t="s">
        <v>75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2"/>
    </row>
    <row r="32" spans="1:17">
      <c r="A32" s="1">
        <v>85</v>
      </c>
      <c r="B32" s="1" t="s">
        <v>84</v>
      </c>
      <c r="C32" s="1"/>
      <c r="D32" s="2">
        <v>46019</v>
      </c>
      <c r="E32" s="57" t="s">
        <v>67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9"/>
    </row>
    <row r="33" spans="1:16">
      <c r="A33" s="1">
        <v>85</v>
      </c>
      <c r="B33" s="1" t="s">
        <v>84</v>
      </c>
      <c r="C33" s="1"/>
      <c r="D33" s="2">
        <v>46020</v>
      </c>
      <c r="E33" s="3">
        <v>0.33333333333333331</v>
      </c>
      <c r="F33" s="3">
        <v>0.53541666666666665</v>
      </c>
      <c r="G33" s="3">
        <v>0.58333333333333337</v>
      </c>
      <c r="H33" s="3">
        <v>0.75</v>
      </c>
      <c r="I33" s="24">
        <v>0.18333333333333299</v>
      </c>
      <c r="J33" s="24">
        <f t="shared" ref="J33:J35" si="18">F33-E33</f>
        <v>0.20208333333333334</v>
      </c>
      <c r="K33" s="48">
        <f>G33-F33</f>
        <v>4.7916666666666718E-2</v>
      </c>
      <c r="L33" s="24">
        <v>0.266666666666666</v>
      </c>
      <c r="M33" s="25">
        <f t="shared" ref="M33:M35" si="19">H33-G33</f>
        <v>0.16666666666666663</v>
      </c>
      <c r="N33" s="25">
        <f t="shared" ref="N33:N35" si="20">M33+J33</f>
        <v>0.36874999999999997</v>
      </c>
      <c r="O33" s="25">
        <v>0.36666666666666697</v>
      </c>
      <c r="P33" s="27">
        <f>N33-O33</f>
        <v>2.0833333333329929E-3</v>
      </c>
    </row>
    <row r="34" spans="1:16">
      <c r="A34" s="1">
        <v>85</v>
      </c>
      <c r="B34" s="1" t="s">
        <v>84</v>
      </c>
      <c r="C34" s="1"/>
      <c r="D34" s="2">
        <v>46021</v>
      </c>
      <c r="E34" s="3">
        <v>0.32847222222222222</v>
      </c>
      <c r="F34" s="3">
        <v>0.53055555555555556</v>
      </c>
      <c r="G34" s="3">
        <v>0.58194444444444449</v>
      </c>
      <c r="H34" s="3">
        <v>0.75</v>
      </c>
      <c r="I34" s="24">
        <v>0.18333333333333299</v>
      </c>
      <c r="J34" s="24">
        <f t="shared" si="18"/>
        <v>0.20208333333333334</v>
      </c>
      <c r="K34" s="48">
        <f>G34-F34</f>
        <v>5.1388888888888928E-2</v>
      </c>
      <c r="L34" s="24">
        <v>0.266666666666666</v>
      </c>
      <c r="M34" s="25">
        <f t="shared" si="19"/>
        <v>0.16805555555555551</v>
      </c>
      <c r="N34" s="25">
        <f t="shared" si="20"/>
        <v>0.37013888888888885</v>
      </c>
      <c r="O34" s="25">
        <v>0.36666666666666697</v>
      </c>
      <c r="P34" s="27">
        <f>N34-O34</f>
        <v>3.4722222222218768E-3</v>
      </c>
    </row>
    <row r="35" spans="1:16">
      <c r="A35" s="1">
        <v>85</v>
      </c>
      <c r="B35" s="1" t="s">
        <v>84</v>
      </c>
      <c r="C35" s="1"/>
      <c r="D35" s="2">
        <v>46022</v>
      </c>
      <c r="E35" s="3">
        <v>0.33333333333333331</v>
      </c>
      <c r="F35" s="3">
        <v>0.49930555555555556</v>
      </c>
      <c r="G35" s="3">
        <v>0</v>
      </c>
      <c r="H35" s="3">
        <v>0</v>
      </c>
      <c r="I35" s="24">
        <v>0.18333333333333299</v>
      </c>
      <c r="J35" s="24">
        <f t="shared" si="18"/>
        <v>0.16597222222222224</v>
      </c>
      <c r="K35" s="48">
        <f>G35-F35</f>
        <v>-0.49930555555555556</v>
      </c>
      <c r="L35" s="24">
        <v>0.266666666666666</v>
      </c>
      <c r="M35" s="25">
        <f t="shared" si="19"/>
        <v>0</v>
      </c>
      <c r="N35" s="25">
        <f t="shared" si="20"/>
        <v>0.16597222222222224</v>
      </c>
      <c r="O35" s="25">
        <v>0.36666666666666697</v>
      </c>
      <c r="P35" s="49">
        <f t="shared" ref="P35" si="21">O35-N35</f>
        <v>0.20069444444444473</v>
      </c>
    </row>
    <row r="36" spans="1:16">
      <c r="E36" s="45"/>
      <c r="F36" s="45"/>
      <c r="G36" s="45"/>
      <c r="H36" s="45"/>
      <c r="I36" s="46"/>
      <c r="J36" s="46"/>
      <c r="K36" s="46"/>
      <c r="L36" s="46"/>
      <c r="M36" s="15"/>
      <c r="N36" s="15"/>
      <c r="O36" s="15"/>
      <c r="P36" s="15"/>
    </row>
    <row r="37" spans="1:16">
      <c r="A37" s="4"/>
      <c r="B37" s="4"/>
      <c r="C37" s="5" t="s">
        <v>60</v>
      </c>
      <c r="D37" s="21">
        <f>SUM(P5,P6,P7,P8,P9,P12,P13,P14,P15,P16,P19,P20,P21,P23,P26,P27,P30,P33,P34)</f>
        <v>0.1652777777777763</v>
      </c>
    </row>
    <row r="38" spans="1:16">
      <c r="A38" s="4"/>
      <c r="B38" s="4"/>
      <c r="C38" s="7" t="s">
        <v>62</v>
      </c>
      <c r="D38" s="8">
        <f>P4</f>
        <v>0</v>
      </c>
      <c r="E38" s="9"/>
      <c r="F38" s="68" t="s">
        <v>61</v>
      </c>
      <c r="G38" s="68"/>
      <c r="H38" s="68"/>
      <c r="I38" s="9"/>
      <c r="J38" s="68" t="s">
        <v>68</v>
      </c>
      <c r="K38" s="68"/>
      <c r="L38" s="68"/>
      <c r="M38" s="9"/>
      <c r="N38" s="68" t="s">
        <v>69</v>
      </c>
      <c r="O38" s="68"/>
      <c r="P38" s="68"/>
    </row>
    <row r="39" spans="1:16">
      <c r="A39" s="68" t="s">
        <v>64</v>
      </c>
      <c r="B39" s="68"/>
      <c r="C39" s="10" t="s">
        <v>65</v>
      </c>
      <c r="D39" s="34">
        <f>SUM(P22,P28,P35)</f>
        <v>0.60902777777777861</v>
      </c>
      <c r="E39" s="9"/>
      <c r="F39" s="11"/>
      <c r="G39" s="67" t="s">
        <v>63</v>
      </c>
      <c r="H39" s="67"/>
      <c r="I39" s="9"/>
      <c r="J39" s="66" t="s">
        <v>70</v>
      </c>
      <c r="K39" s="66"/>
      <c r="L39" s="21">
        <v>0.51875000000000004</v>
      </c>
      <c r="M39" s="9"/>
      <c r="N39" s="67" t="s">
        <v>77</v>
      </c>
      <c r="O39" s="67"/>
      <c r="P39" s="31">
        <f>L39</f>
        <v>0.51875000000000004</v>
      </c>
    </row>
    <row r="40" spans="1:16">
      <c r="A40" s="13"/>
      <c r="B40" s="13"/>
      <c r="C40" s="47" t="s">
        <v>78</v>
      </c>
      <c r="D40" s="14">
        <v>0</v>
      </c>
      <c r="E40" s="15"/>
      <c r="F40" s="16"/>
      <c r="G40" s="67" t="s">
        <v>60</v>
      </c>
      <c r="H40" s="67"/>
      <c r="I40" s="9"/>
      <c r="J40" s="66" t="s">
        <v>95</v>
      </c>
      <c r="K40" s="66"/>
      <c r="L40" s="34">
        <v>0.44374999999999998</v>
      </c>
      <c r="M40" s="9"/>
      <c r="N40" s="67" t="s">
        <v>96</v>
      </c>
      <c r="O40" s="67"/>
      <c r="P40" s="34">
        <v>0.44374999999999998</v>
      </c>
    </row>
    <row r="41" spans="1:16">
      <c r="A41" s="9"/>
      <c r="B41" s="9"/>
      <c r="C41" s="17"/>
      <c r="D41" s="18"/>
      <c r="E41" s="9"/>
      <c r="F41" s="19"/>
      <c r="G41" s="12" t="s">
        <v>65</v>
      </c>
      <c r="H41" s="12"/>
      <c r="I41" s="9"/>
      <c r="J41" s="63" t="s">
        <v>81</v>
      </c>
      <c r="K41" s="64"/>
      <c r="L41" s="14">
        <v>0</v>
      </c>
      <c r="M41" s="9"/>
      <c r="N41" s="65" t="s">
        <v>72</v>
      </c>
      <c r="O41" s="65"/>
      <c r="P41" s="21">
        <f>P39-P40</f>
        <v>7.5000000000000067E-2</v>
      </c>
    </row>
    <row r="42" spans="1:16">
      <c r="A42" s="9"/>
      <c r="B42" s="9"/>
      <c r="C42" s="20" t="s">
        <v>66</v>
      </c>
      <c r="D42" s="34">
        <f>SUM(D39-D37)</f>
        <v>0.44375000000000231</v>
      </c>
      <c r="E42" s="9"/>
      <c r="F42" s="22"/>
      <c r="G42" s="12" t="s">
        <v>79</v>
      </c>
      <c r="H42" s="12"/>
      <c r="I42" s="9"/>
      <c r="J42" s="66"/>
      <c r="K42" s="66"/>
      <c r="L42" s="28">
        <v>0</v>
      </c>
      <c r="M42" s="9"/>
      <c r="N42" s="67" t="s">
        <v>73</v>
      </c>
      <c r="O42" s="67"/>
      <c r="P42" s="29">
        <v>0</v>
      </c>
    </row>
    <row r="43" spans="1:16">
      <c r="E43" s="9"/>
      <c r="F43" s="23"/>
      <c r="G43" s="67" t="s">
        <v>71</v>
      </c>
      <c r="H43" s="67"/>
      <c r="I43" s="9"/>
      <c r="J43" s="65"/>
      <c r="K43" s="65"/>
      <c r="L43" s="30">
        <v>0</v>
      </c>
      <c r="M43" s="9"/>
      <c r="N43" s="65" t="s">
        <v>74</v>
      </c>
      <c r="O43" s="65"/>
      <c r="P43" s="21">
        <f>P41</f>
        <v>7.5000000000000067E-2</v>
      </c>
    </row>
    <row r="45" spans="1:16">
      <c r="J45" s="53" t="s">
        <v>80</v>
      </c>
      <c r="K45" s="53"/>
    </row>
    <row r="46" spans="1:16">
      <c r="J46" s="53"/>
      <c r="K46" s="53"/>
    </row>
  </sheetData>
  <mergeCells count="44">
    <mergeCell ref="J45:K46"/>
    <mergeCell ref="E11:P11"/>
    <mergeCell ref="E17:P17"/>
    <mergeCell ref="E18:P18"/>
    <mergeCell ref="E25:P25"/>
    <mergeCell ref="E29:P29"/>
    <mergeCell ref="E31:P31"/>
    <mergeCell ref="E32:P32"/>
    <mergeCell ref="J41:K41"/>
    <mergeCell ref="N41:O41"/>
    <mergeCell ref="J42:K42"/>
    <mergeCell ref="N42:O42"/>
    <mergeCell ref="G43:H43"/>
    <mergeCell ref="J43:K43"/>
    <mergeCell ref="N43:O43"/>
    <mergeCell ref="E24:P24"/>
    <mergeCell ref="A39:B39"/>
    <mergeCell ref="G39:H39"/>
    <mergeCell ref="J39:K39"/>
    <mergeCell ref="N39:O39"/>
    <mergeCell ref="G40:H40"/>
    <mergeCell ref="J40:K40"/>
    <mergeCell ref="N40:O40"/>
    <mergeCell ref="F38:H38"/>
    <mergeCell ref="J38:L38"/>
    <mergeCell ref="N38:P38"/>
    <mergeCell ref="P3:P4"/>
    <mergeCell ref="E10:P10"/>
    <mergeCell ref="J3:J4"/>
    <mergeCell ref="K3:K4"/>
    <mergeCell ref="L3:L4"/>
    <mergeCell ref="M3:M4"/>
    <mergeCell ref="N3:N4"/>
    <mergeCell ref="O3:O4"/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</mergeCells>
  <pageMargins left="0.51181102362204722" right="0.51181102362204722" top="0.78740157480314965" bottom="0.78740157480314965" header="0.31496062992125984" footer="0.31496062992125984"/>
  <pageSetup paperSize="9" scale="77" orientation="landscape" horizontalDpi="4294967292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AA76-0509-4886-B3DC-E30A5D9EA2B5}">
  <sheetPr>
    <pageSetUpPr fitToPage="1"/>
  </sheetPr>
  <dimension ref="A1:P46"/>
  <sheetViews>
    <sheetView topLeftCell="A14" workbookViewId="0">
      <selection activeCell="P49" sqref="P49"/>
    </sheetView>
  </sheetViews>
  <sheetFormatPr defaultRowHeight="12.75"/>
  <cols>
    <col min="2" max="2" width="13.140625" customWidth="1"/>
    <col min="3" max="3" width="17.28515625" customWidth="1"/>
    <col min="4" max="4" width="12.28515625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97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46023</v>
      </c>
      <c r="E5" s="54" t="s">
        <v>91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6"/>
    </row>
    <row r="6" spans="1:16">
      <c r="A6" s="1">
        <v>85</v>
      </c>
      <c r="B6" s="1" t="s">
        <v>84</v>
      </c>
      <c r="C6" s="1"/>
      <c r="D6" s="2">
        <v>46024</v>
      </c>
      <c r="E6" s="3">
        <v>0.33333333333333331</v>
      </c>
      <c r="F6" s="3">
        <v>0.54166666666666663</v>
      </c>
      <c r="G6" s="3">
        <v>0.59166666666666667</v>
      </c>
      <c r="H6" s="3">
        <v>0.75</v>
      </c>
      <c r="I6" s="24">
        <v>0.18333333333333299</v>
      </c>
      <c r="J6" s="24">
        <f t="shared" ref="J6:K6" si="0">F6-E6</f>
        <v>0.20833333333333331</v>
      </c>
      <c r="K6" s="48">
        <f t="shared" si="0"/>
        <v>5.0000000000000044E-2</v>
      </c>
      <c r="L6" s="24">
        <v>0.266666666666666</v>
      </c>
      <c r="M6" s="25">
        <f t="shared" ref="M6" si="1">H6-G6</f>
        <v>0.15833333333333333</v>
      </c>
      <c r="N6" s="25">
        <f t="shared" ref="N6" si="2">M6+J6</f>
        <v>0.36666666666666664</v>
      </c>
      <c r="O6" s="25">
        <v>0.36666666666666697</v>
      </c>
      <c r="P6" s="27">
        <f>N6-O6</f>
        <v>0</v>
      </c>
    </row>
    <row r="7" spans="1:16">
      <c r="A7" s="1">
        <v>85</v>
      </c>
      <c r="B7" s="1" t="s">
        <v>84</v>
      </c>
      <c r="C7" s="1"/>
      <c r="D7" s="2">
        <v>46025</v>
      </c>
      <c r="E7" s="60" t="s">
        <v>75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2"/>
    </row>
    <row r="8" spans="1:16">
      <c r="A8" s="1">
        <v>85</v>
      </c>
      <c r="B8" s="1" t="s">
        <v>84</v>
      </c>
      <c r="C8" s="1"/>
      <c r="D8" s="2">
        <v>46026</v>
      </c>
      <c r="E8" s="57" t="s">
        <v>67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9"/>
    </row>
    <row r="9" spans="1:16">
      <c r="A9" s="1">
        <v>85</v>
      </c>
      <c r="B9" s="1" t="s">
        <v>84</v>
      </c>
      <c r="C9" s="1"/>
      <c r="D9" s="2">
        <v>46027</v>
      </c>
      <c r="E9" s="3">
        <v>0.33333333333333331</v>
      </c>
      <c r="F9" s="3">
        <v>0.53263888888888888</v>
      </c>
      <c r="G9" s="3">
        <v>0.58263888888888893</v>
      </c>
      <c r="H9" s="3">
        <v>0.75</v>
      </c>
      <c r="I9" s="24">
        <v>0.18333333333333299</v>
      </c>
      <c r="J9" s="24">
        <f t="shared" ref="J9:J13" si="3">F9-E9</f>
        <v>0.19930555555555557</v>
      </c>
      <c r="K9" s="48">
        <f>G9-F9</f>
        <v>5.0000000000000044E-2</v>
      </c>
      <c r="L9" s="24">
        <v>0.18333333333333299</v>
      </c>
      <c r="M9" s="25">
        <f t="shared" ref="M9:M13" si="4">H9-G9</f>
        <v>0.16736111111111107</v>
      </c>
      <c r="N9" s="25">
        <f t="shared" ref="N9:N13" si="5">M9+J9</f>
        <v>0.36666666666666664</v>
      </c>
      <c r="O9" s="25">
        <f t="shared" ref="O9" si="6">I9+L9</f>
        <v>0.36666666666666597</v>
      </c>
      <c r="P9" s="27">
        <f>N9-O9</f>
        <v>6.6613381477509392E-16</v>
      </c>
    </row>
    <row r="10" spans="1:16">
      <c r="A10" s="1">
        <v>85</v>
      </c>
      <c r="B10" s="1" t="s">
        <v>84</v>
      </c>
      <c r="C10" s="1"/>
      <c r="D10" s="2">
        <v>46028</v>
      </c>
      <c r="E10" s="3">
        <v>0.33333333333333331</v>
      </c>
      <c r="F10" s="3">
        <v>0.53194444444444444</v>
      </c>
      <c r="G10" s="3">
        <v>0.58194444444444449</v>
      </c>
      <c r="H10" s="3">
        <v>0.75</v>
      </c>
      <c r="I10" s="24">
        <v>0.18333333333333299</v>
      </c>
      <c r="J10" s="24">
        <f t="shared" si="3"/>
        <v>0.19861111111111113</v>
      </c>
      <c r="K10" s="48">
        <f>G10-F10</f>
        <v>5.0000000000000044E-2</v>
      </c>
      <c r="L10" s="24">
        <v>0.266666666666666</v>
      </c>
      <c r="M10" s="25">
        <f t="shared" si="4"/>
        <v>0.16805555555555551</v>
      </c>
      <c r="N10" s="25">
        <f t="shared" si="5"/>
        <v>0.36666666666666664</v>
      </c>
      <c r="O10" s="25">
        <v>0.36666666666666697</v>
      </c>
      <c r="P10" s="27">
        <f>N10-O10</f>
        <v>0</v>
      </c>
    </row>
    <row r="11" spans="1:16">
      <c r="A11" s="1">
        <v>85</v>
      </c>
      <c r="B11" s="1" t="s">
        <v>84</v>
      </c>
      <c r="C11" s="1"/>
      <c r="D11" s="2">
        <v>46029</v>
      </c>
      <c r="E11" s="3">
        <v>0.33333333333333331</v>
      </c>
      <c r="F11" s="3">
        <v>0.53194444444444444</v>
      </c>
      <c r="G11" s="3">
        <v>0.58194444444444449</v>
      </c>
      <c r="H11" s="3">
        <v>0.75</v>
      </c>
      <c r="I11" s="24">
        <v>0.18333333333333299</v>
      </c>
      <c r="J11" s="24">
        <f t="shared" si="3"/>
        <v>0.19861111111111113</v>
      </c>
      <c r="K11" s="48">
        <f>G11-F11</f>
        <v>5.0000000000000044E-2</v>
      </c>
      <c r="L11" s="24">
        <v>0.266666666666666</v>
      </c>
      <c r="M11" s="25">
        <f t="shared" si="4"/>
        <v>0.16805555555555551</v>
      </c>
      <c r="N11" s="25">
        <f t="shared" si="5"/>
        <v>0.36666666666666664</v>
      </c>
      <c r="O11" s="25">
        <v>0.36666666666666697</v>
      </c>
      <c r="P11" s="27">
        <f>N11-O11</f>
        <v>0</v>
      </c>
    </row>
    <row r="12" spans="1:16">
      <c r="A12" s="1">
        <v>85</v>
      </c>
      <c r="B12" s="1" t="s">
        <v>84</v>
      </c>
      <c r="C12" s="1"/>
      <c r="D12" s="2">
        <v>46030</v>
      </c>
      <c r="E12" s="3">
        <v>0.33333333333333331</v>
      </c>
      <c r="F12" s="3">
        <v>0.53125</v>
      </c>
      <c r="G12" s="3">
        <v>0.58194444444444449</v>
      </c>
      <c r="H12" s="3">
        <v>0.75</v>
      </c>
      <c r="I12" s="24">
        <v>0.18333333333333299</v>
      </c>
      <c r="J12" s="24">
        <f t="shared" si="3"/>
        <v>0.19791666666666669</v>
      </c>
      <c r="K12" s="48">
        <f>G12-F12</f>
        <v>5.0694444444444486E-2</v>
      </c>
      <c r="L12" s="24">
        <v>0.266666666666666</v>
      </c>
      <c r="M12" s="25">
        <f t="shared" si="4"/>
        <v>0.16805555555555551</v>
      </c>
      <c r="N12" s="25">
        <f t="shared" si="5"/>
        <v>0.3659722222222222</v>
      </c>
      <c r="O12" s="25">
        <v>0.36666666666666697</v>
      </c>
      <c r="P12" s="49">
        <f t="shared" ref="P12:P13" si="7">O12-N12</f>
        <v>6.9444444444477504E-4</v>
      </c>
    </row>
    <row r="13" spans="1:16">
      <c r="A13" s="1">
        <v>85</v>
      </c>
      <c r="B13" s="1" t="s">
        <v>84</v>
      </c>
      <c r="C13" s="1"/>
      <c r="D13" s="2">
        <v>46031</v>
      </c>
      <c r="E13" s="3">
        <v>0.33333333333333331</v>
      </c>
      <c r="F13" s="3">
        <v>0.53125</v>
      </c>
      <c r="G13" s="3">
        <v>0.58263888888888893</v>
      </c>
      <c r="H13" s="3">
        <v>0.75</v>
      </c>
      <c r="I13" s="24">
        <v>0.18333333333333299</v>
      </c>
      <c r="J13" s="24">
        <f t="shared" si="3"/>
        <v>0.19791666666666669</v>
      </c>
      <c r="K13" s="48">
        <f>G13-F13</f>
        <v>5.1388888888888928E-2</v>
      </c>
      <c r="L13" s="24">
        <v>0.266666666666666</v>
      </c>
      <c r="M13" s="25">
        <f t="shared" si="4"/>
        <v>0.16736111111111107</v>
      </c>
      <c r="N13" s="25">
        <f t="shared" si="5"/>
        <v>0.36527777777777776</v>
      </c>
      <c r="O13" s="25">
        <v>0.36666666666666697</v>
      </c>
      <c r="P13" s="49">
        <f t="shared" si="7"/>
        <v>1.388888888889217E-3</v>
      </c>
    </row>
    <row r="14" spans="1:16">
      <c r="A14" s="1">
        <v>85</v>
      </c>
      <c r="B14" s="1" t="s">
        <v>84</v>
      </c>
      <c r="C14" s="1"/>
      <c r="D14" s="2">
        <v>46032</v>
      </c>
      <c r="E14" s="60" t="s">
        <v>75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2"/>
    </row>
    <row r="15" spans="1:16">
      <c r="A15" s="1">
        <v>85</v>
      </c>
      <c r="B15" s="1" t="s">
        <v>84</v>
      </c>
      <c r="C15" s="1"/>
      <c r="D15" s="2">
        <v>46033</v>
      </c>
      <c r="E15" s="57" t="s">
        <v>67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9"/>
    </row>
    <row r="16" spans="1:16">
      <c r="A16" s="1">
        <v>85</v>
      </c>
      <c r="B16" s="1" t="s">
        <v>84</v>
      </c>
      <c r="C16" s="1"/>
      <c r="D16" s="2">
        <v>46034</v>
      </c>
      <c r="E16" s="3">
        <v>0.33333333333333331</v>
      </c>
      <c r="F16" s="3">
        <v>0.53263888888888888</v>
      </c>
      <c r="G16" s="3">
        <v>0.58402777777777781</v>
      </c>
      <c r="H16" s="3">
        <v>0.75277777777777777</v>
      </c>
      <c r="I16" s="24">
        <v>0.18333333333333299</v>
      </c>
      <c r="J16" s="24">
        <f t="shared" ref="J16:J20" si="8">F16-E16</f>
        <v>0.19930555555555557</v>
      </c>
      <c r="K16" s="48">
        <f>G16-F16</f>
        <v>5.1388888888888928E-2</v>
      </c>
      <c r="L16" s="24">
        <v>0.18333333333333299</v>
      </c>
      <c r="M16" s="25">
        <f t="shared" ref="M16:M20" si="9">H16-G16</f>
        <v>0.16874999999999996</v>
      </c>
      <c r="N16" s="25">
        <f t="shared" ref="N16:N20" si="10">M16+J16</f>
        <v>0.36805555555555552</v>
      </c>
      <c r="O16" s="25">
        <f t="shared" ref="O16" si="11">I16+L16</f>
        <v>0.36666666666666597</v>
      </c>
      <c r="P16" s="27">
        <f>N16-O16</f>
        <v>1.3888888888895501E-3</v>
      </c>
    </row>
    <row r="17" spans="1:16">
      <c r="A17" s="1">
        <v>85</v>
      </c>
      <c r="B17" s="1" t="s">
        <v>84</v>
      </c>
      <c r="C17" s="1"/>
      <c r="D17" s="2">
        <v>46035</v>
      </c>
      <c r="E17" s="3">
        <v>0.33333333333333331</v>
      </c>
      <c r="F17" s="3">
        <v>0.53541666666666665</v>
      </c>
      <c r="G17" s="3">
        <v>0.58472222222222225</v>
      </c>
      <c r="H17" s="3">
        <v>0.75</v>
      </c>
      <c r="I17" s="24">
        <v>0.18333333333333299</v>
      </c>
      <c r="J17" s="24">
        <f t="shared" si="8"/>
        <v>0.20208333333333334</v>
      </c>
      <c r="K17" s="48">
        <f>G17-F17</f>
        <v>4.9305555555555602E-2</v>
      </c>
      <c r="L17" s="24">
        <v>0.266666666666666</v>
      </c>
      <c r="M17" s="25">
        <f t="shared" si="9"/>
        <v>0.16527777777777775</v>
      </c>
      <c r="N17" s="25">
        <f t="shared" si="10"/>
        <v>0.36736111111111108</v>
      </c>
      <c r="O17" s="25">
        <v>0.36666666666666697</v>
      </c>
      <c r="P17" s="27">
        <f>N17-O17</f>
        <v>6.9444444444410891E-4</v>
      </c>
    </row>
    <row r="18" spans="1:16">
      <c r="A18" s="1">
        <v>85</v>
      </c>
      <c r="B18" s="1" t="s">
        <v>84</v>
      </c>
      <c r="C18" s="1"/>
      <c r="D18" s="2">
        <v>46036</v>
      </c>
      <c r="E18" s="3">
        <v>0.33333333333333331</v>
      </c>
      <c r="F18" s="3">
        <v>0.53125</v>
      </c>
      <c r="G18" s="3">
        <v>0.58333333333333337</v>
      </c>
      <c r="H18" s="3">
        <v>0.75</v>
      </c>
      <c r="I18" s="24">
        <v>0.18333333333333299</v>
      </c>
      <c r="J18" s="24">
        <f t="shared" si="8"/>
        <v>0.19791666666666669</v>
      </c>
      <c r="K18" s="48">
        <f>G18-F18</f>
        <v>5.208333333333337E-2</v>
      </c>
      <c r="L18" s="24">
        <v>0.266666666666666</v>
      </c>
      <c r="M18" s="25">
        <f t="shared" si="9"/>
        <v>0.16666666666666663</v>
      </c>
      <c r="N18" s="25">
        <f t="shared" si="10"/>
        <v>0.36458333333333331</v>
      </c>
      <c r="O18" s="25">
        <v>0.36666666666666697</v>
      </c>
      <c r="P18" s="49">
        <f t="shared" ref="P18:P20" si="12">O18-N18</f>
        <v>2.083333333333659E-3</v>
      </c>
    </row>
    <row r="19" spans="1:16">
      <c r="A19" s="1">
        <v>85</v>
      </c>
      <c r="B19" s="1" t="s">
        <v>84</v>
      </c>
      <c r="C19" s="1"/>
      <c r="D19" s="2">
        <v>46037</v>
      </c>
      <c r="E19" s="3">
        <v>0.33333333333333331</v>
      </c>
      <c r="F19" s="3">
        <v>0.53472222222222221</v>
      </c>
      <c r="G19" s="3">
        <v>0.58750000000000002</v>
      </c>
      <c r="H19" s="3">
        <v>0.75</v>
      </c>
      <c r="I19" s="24">
        <v>0.18333333333333299</v>
      </c>
      <c r="J19" s="24">
        <f t="shared" si="8"/>
        <v>0.2013888888888889</v>
      </c>
      <c r="K19" s="48">
        <f>G19-F19</f>
        <v>5.2777777777777812E-2</v>
      </c>
      <c r="L19" s="24">
        <v>0.266666666666666</v>
      </c>
      <c r="M19" s="25">
        <f t="shared" si="9"/>
        <v>0.16249999999999998</v>
      </c>
      <c r="N19" s="25">
        <f t="shared" si="10"/>
        <v>0.36388888888888887</v>
      </c>
      <c r="O19" s="25">
        <v>0.36666666666666697</v>
      </c>
      <c r="P19" s="49">
        <f t="shared" si="12"/>
        <v>2.777777777778101E-3</v>
      </c>
    </row>
    <row r="20" spans="1:16">
      <c r="A20" s="1">
        <v>85</v>
      </c>
      <c r="B20" s="1" t="s">
        <v>84</v>
      </c>
      <c r="C20" s="1"/>
      <c r="D20" s="2">
        <v>46038</v>
      </c>
      <c r="E20" s="3">
        <v>0.33333333333333331</v>
      </c>
      <c r="F20" s="3">
        <v>0.54583333333333328</v>
      </c>
      <c r="G20" s="3">
        <v>0.59791666666666665</v>
      </c>
      <c r="H20" s="3">
        <v>0.75</v>
      </c>
      <c r="I20" s="24">
        <v>0.18333333333333299</v>
      </c>
      <c r="J20" s="24">
        <f t="shared" si="8"/>
        <v>0.21249999999999997</v>
      </c>
      <c r="K20" s="48">
        <f>G20-F20</f>
        <v>5.208333333333337E-2</v>
      </c>
      <c r="L20" s="24">
        <v>0.266666666666666</v>
      </c>
      <c r="M20" s="25">
        <f t="shared" si="9"/>
        <v>0.15208333333333335</v>
      </c>
      <c r="N20" s="25">
        <f t="shared" si="10"/>
        <v>0.36458333333333331</v>
      </c>
      <c r="O20" s="25">
        <v>0.36666666666666697</v>
      </c>
      <c r="P20" s="49">
        <f t="shared" si="12"/>
        <v>2.083333333333659E-3</v>
      </c>
    </row>
    <row r="21" spans="1:16">
      <c r="A21" s="1">
        <v>85</v>
      </c>
      <c r="B21" s="1" t="s">
        <v>84</v>
      </c>
      <c r="C21" s="1"/>
      <c r="D21" s="2">
        <v>46039</v>
      </c>
      <c r="E21" s="60" t="s">
        <v>75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2"/>
    </row>
    <row r="22" spans="1:16">
      <c r="A22" s="1">
        <v>85</v>
      </c>
      <c r="B22" s="1" t="s">
        <v>84</v>
      </c>
      <c r="C22" s="1"/>
      <c r="D22" s="2">
        <v>46040</v>
      </c>
      <c r="E22" s="57" t="s">
        <v>67</v>
      </c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9"/>
    </row>
    <row r="23" spans="1:16">
      <c r="A23" s="1">
        <v>85</v>
      </c>
      <c r="B23" s="1" t="s">
        <v>84</v>
      </c>
      <c r="C23" s="1"/>
      <c r="D23" s="2">
        <v>46041</v>
      </c>
      <c r="E23" s="3">
        <v>0.33333333333333331</v>
      </c>
      <c r="F23" s="3">
        <v>0.53611111111111109</v>
      </c>
      <c r="G23" s="3">
        <v>0.5854166666666667</v>
      </c>
      <c r="H23" s="3">
        <v>0.75</v>
      </c>
      <c r="I23" s="24">
        <v>0.18333333333333299</v>
      </c>
      <c r="J23" s="24">
        <f t="shared" ref="J23:J27" si="13">F23-E23</f>
        <v>0.20277777777777778</v>
      </c>
      <c r="K23" s="48">
        <f>G23-F23</f>
        <v>4.9305555555555602E-2</v>
      </c>
      <c r="L23" s="24">
        <v>0.18333333333333299</v>
      </c>
      <c r="M23" s="25">
        <f t="shared" ref="M23:M27" si="14">H23-G23</f>
        <v>0.1645833333333333</v>
      </c>
      <c r="N23" s="25">
        <f t="shared" ref="N23:N27" si="15">M23+J23</f>
        <v>0.36736111111111108</v>
      </c>
      <c r="O23" s="25">
        <f t="shared" ref="O23" si="16">I23+L23</f>
        <v>0.36666666666666597</v>
      </c>
      <c r="P23" s="27">
        <f>N23-O23</f>
        <v>6.9444444444510811E-4</v>
      </c>
    </row>
    <row r="24" spans="1:16">
      <c r="A24" s="1">
        <v>85</v>
      </c>
      <c r="B24" s="1" t="s">
        <v>84</v>
      </c>
      <c r="C24" s="1"/>
      <c r="D24" s="2">
        <v>46042</v>
      </c>
      <c r="E24" s="54" t="s">
        <v>91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6"/>
    </row>
    <row r="25" spans="1:16">
      <c r="A25" s="1">
        <v>85</v>
      </c>
      <c r="B25" s="1" t="s">
        <v>84</v>
      </c>
      <c r="C25" s="1"/>
      <c r="D25" s="2">
        <v>46043</v>
      </c>
      <c r="E25" s="3">
        <v>0.33333333333333331</v>
      </c>
      <c r="F25" s="3">
        <v>0.53125</v>
      </c>
      <c r="G25" s="3">
        <v>0.58125000000000004</v>
      </c>
      <c r="H25" s="3">
        <v>0.75</v>
      </c>
      <c r="I25" s="24">
        <v>0.18333333333333299</v>
      </c>
      <c r="J25" s="24">
        <f t="shared" si="13"/>
        <v>0.19791666666666669</v>
      </c>
      <c r="K25" s="48">
        <f>G25-F25</f>
        <v>5.0000000000000044E-2</v>
      </c>
      <c r="L25" s="24">
        <v>0.266666666666666</v>
      </c>
      <c r="M25" s="25">
        <f t="shared" si="14"/>
        <v>0.16874999999999996</v>
      </c>
      <c r="N25" s="25">
        <f t="shared" si="15"/>
        <v>0.36666666666666664</v>
      </c>
      <c r="O25" s="25">
        <v>0.36666666666666697</v>
      </c>
      <c r="P25" s="27">
        <f>N25-O25</f>
        <v>0</v>
      </c>
    </row>
    <row r="26" spans="1:16">
      <c r="A26" s="1">
        <v>85</v>
      </c>
      <c r="B26" s="1" t="s">
        <v>84</v>
      </c>
      <c r="C26" s="1"/>
      <c r="D26" s="2">
        <v>46044</v>
      </c>
      <c r="E26" s="3">
        <v>0.33333333333333331</v>
      </c>
      <c r="F26" s="3">
        <v>0.53402777777777777</v>
      </c>
      <c r="G26" s="3">
        <v>0.58402777777777781</v>
      </c>
      <c r="H26" s="3">
        <v>0.75694444444444442</v>
      </c>
      <c r="I26" s="24">
        <v>0.18333333333333299</v>
      </c>
      <c r="J26" s="24">
        <f t="shared" si="13"/>
        <v>0.20069444444444445</v>
      </c>
      <c r="K26" s="48">
        <f>G26-F26</f>
        <v>5.0000000000000044E-2</v>
      </c>
      <c r="L26" s="24">
        <v>0.266666666666666</v>
      </c>
      <c r="M26" s="25">
        <f t="shared" si="14"/>
        <v>0.17291666666666661</v>
      </c>
      <c r="N26" s="25">
        <f t="shared" si="15"/>
        <v>0.37361111111111106</v>
      </c>
      <c r="O26" s="25">
        <v>0.36666666666666697</v>
      </c>
      <c r="P26" s="27">
        <f>N26-O26</f>
        <v>6.9444444444440867E-3</v>
      </c>
    </row>
    <row r="27" spans="1:16">
      <c r="A27" s="1">
        <v>85</v>
      </c>
      <c r="B27" s="1" t="s">
        <v>84</v>
      </c>
      <c r="C27" s="1"/>
      <c r="D27" s="2">
        <v>46045</v>
      </c>
      <c r="E27" s="3">
        <v>0.33333333333333331</v>
      </c>
      <c r="F27" s="3">
        <v>0.54097222222222219</v>
      </c>
      <c r="G27" s="3">
        <v>0.59583333333333333</v>
      </c>
      <c r="H27" s="3">
        <v>0.75</v>
      </c>
      <c r="I27" s="24">
        <v>0.18333333333333299</v>
      </c>
      <c r="J27" s="24">
        <f t="shared" si="13"/>
        <v>0.20763888888888887</v>
      </c>
      <c r="K27" s="48">
        <f>G27-F27</f>
        <v>5.4861111111111138E-2</v>
      </c>
      <c r="L27" s="24">
        <v>0.266666666666666</v>
      </c>
      <c r="M27" s="25">
        <f t="shared" si="14"/>
        <v>0.15416666666666667</v>
      </c>
      <c r="N27" s="25">
        <f t="shared" si="15"/>
        <v>0.36180555555555555</v>
      </c>
      <c r="O27" s="25">
        <v>0.36666666666666697</v>
      </c>
      <c r="P27" s="49">
        <f t="shared" ref="P27" si="17">O27-N27</f>
        <v>4.8611111111114269E-3</v>
      </c>
    </row>
    <row r="28" spans="1:16">
      <c r="A28" s="1">
        <v>85</v>
      </c>
      <c r="B28" s="1" t="s">
        <v>84</v>
      </c>
      <c r="C28" s="1"/>
      <c r="D28" s="2">
        <v>46046</v>
      </c>
      <c r="E28" s="60" t="s">
        <v>75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2"/>
    </row>
    <row r="29" spans="1:16">
      <c r="A29" s="1">
        <v>85</v>
      </c>
      <c r="B29" s="1" t="s">
        <v>84</v>
      </c>
      <c r="C29" s="1"/>
      <c r="D29" s="2">
        <v>46047</v>
      </c>
      <c r="E29" s="57" t="s">
        <v>67</v>
      </c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9"/>
    </row>
    <row r="30" spans="1:16">
      <c r="A30" s="1">
        <v>85</v>
      </c>
      <c r="B30" s="1" t="s">
        <v>84</v>
      </c>
      <c r="C30" s="1"/>
      <c r="D30" s="2">
        <v>46048</v>
      </c>
      <c r="E30" s="3">
        <v>0.33333333333333331</v>
      </c>
      <c r="F30" s="3">
        <v>0.53333333333333333</v>
      </c>
      <c r="G30" s="3">
        <v>0.58263888888888893</v>
      </c>
      <c r="H30" s="3">
        <v>0.75</v>
      </c>
      <c r="I30" s="24">
        <v>0.18333333333333299</v>
      </c>
      <c r="J30" s="24">
        <f t="shared" ref="J30:J34" si="18">F30-E30</f>
        <v>0.2</v>
      </c>
      <c r="K30" s="48">
        <f t="shared" ref="K30:K35" si="19">G30-F30</f>
        <v>4.9305555555555602E-2</v>
      </c>
      <c r="L30" s="24">
        <v>0.18333333333333299</v>
      </c>
      <c r="M30" s="25">
        <f t="shared" ref="M30:M34" si="20">H30-G30</f>
        <v>0.16736111111111107</v>
      </c>
      <c r="N30" s="25">
        <f t="shared" ref="N30:N34" si="21">M30+J30</f>
        <v>0.36736111111111108</v>
      </c>
      <c r="O30" s="25">
        <f t="shared" ref="O30" si="22">I30+L30</f>
        <v>0.36666666666666597</v>
      </c>
      <c r="P30" s="27">
        <f>N30-O30</f>
        <v>6.9444444444510811E-4</v>
      </c>
    </row>
    <row r="31" spans="1:16">
      <c r="A31" s="1">
        <v>85</v>
      </c>
      <c r="B31" s="1" t="s">
        <v>84</v>
      </c>
      <c r="C31" s="1"/>
      <c r="D31" s="2">
        <v>46049</v>
      </c>
      <c r="E31" s="3">
        <v>0.33333333333333331</v>
      </c>
      <c r="F31" s="3">
        <v>0.53333333333333333</v>
      </c>
      <c r="G31" s="3">
        <v>0.58263888888888893</v>
      </c>
      <c r="H31" s="3">
        <v>0.75</v>
      </c>
      <c r="I31" s="24">
        <v>0.18333333333333299</v>
      </c>
      <c r="J31" s="24">
        <f t="shared" si="18"/>
        <v>0.2</v>
      </c>
      <c r="K31" s="48">
        <f t="shared" si="19"/>
        <v>4.9305555555555602E-2</v>
      </c>
      <c r="L31" s="24">
        <v>0.266666666666666</v>
      </c>
      <c r="M31" s="25">
        <f t="shared" si="20"/>
        <v>0.16736111111111107</v>
      </c>
      <c r="N31" s="25">
        <f t="shared" si="21"/>
        <v>0.36736111111111108</v>
      </c>
      <c r="O31" s="25">
        <v>0.36666666666666697</v>
      </c>
      <c r="P31" s="27">
        <f>N31-O31</f>
        <v>6.9444444444410891E-4</v>
      </c>
    </row>
    <row r="32" spans="1:16">
      <c r="A32" s="1">
        <v>85</v>
      </c>
      <c r="B32" s="1" t="s">
        <v>84</v>
      </c>
      <c r="C32" s="1"/>
      <c r="D32" s="2">
        <v>46050</v>
      </c>
      <c r="E32" s="3">
        <v>0.33333333333333331</v>
      </c>
      <c r="F32" s="3">
        <v>0.53194444444444444</v>
      </c>
      <c r="G32" s="3">
        <v>0.58125000000000004</v>
      </c>
      <c r="H32" s="3">
        <v>0.75</v>
      </c>
      <c r="I32" s="24">
        <v>0.18333333333333299</v>
      </c>
      <c r="J32" s="24">
        <f t="shared" si="18"/>
        <v>0.19861111111111113</v>
      </c>
      <c r="K32" s="48">
        <f t="shared" si="19"/>
        <v>4.9305555555555602E-2</v>
      </c>
      <c r="L32" s="24">
        <v>0.266666666666666</v>
      </c>
      <c r="M32" s="25">
        <f t="shared" si="20"/>
        <v>0.16874999999999996</v>
      </c>
      <c r="N32" s="25">
        <f t="shared" si="21"/>
        <v>0.36736111111111108</v>
      </c>
      <c r="O32" s="25">
        <v>0.36666666666666697</v>
      </c>
      <c r="P32" s="27">
        <f>N32-O32</f>
        <v>6.9444444444410891E-4</v>
      </c>
    </row>
    <row r="33" spans="1:16">
      <c r="A33" s="1">
        <v>85</v>
      </c>
      <c r="B33" s="1" t="s">
        <v>84</v>
      </c>
      <c r="C33" s="1"/>
      <c r="D33" s="2">
        <v>46051</v>
      </c>
      <c r="E33" s="3">
        <v>0.33333333333333331</v>
      </c>
      <c r="F33" s="3">
        <v>0.53125</v>
      </c>
      <c r="G33" s="3">
        <v>0.58194444444444449</v>
      </c>
      <c r="H33" s="3">
        <v>0.75</v>
      </c>
      <c r="I33" s="24">
        <v>0.18333333333333299</v>
      </c>
      <c r="J33" s="24">
        <f t="shared" si="18"/>
        <v>0.19791666666666669</v>
      </c>
      <c r="K33" s="48">
        <f t="shared" si="19"/>
        <v>5.0694444444444486E-2</v>
      </c>
      <c r="L33" s="24">
        <v>0.266666666666666</v>
      </c>
      <c r="M33" s="25">
        <f t="shared" si="20"/>
        <v>0.16805555555555551</v>
      </c>
      <c r="N33" s="25">
        <f t="shared" si="21"/>
        <v>0.3659722222222222</v>
      </c>
      <c r="O33" s="25">
        <v>0.36666666666666697</v>
      </c>
      <c r="P33" s="49">
        <f t="shared" ref="P33" si="23">O33-N33</f>
        <v>6.9444444444477504E-4</v>
      </c>
    </row>
    <row r="34" spans="1:16">
      <c r="A34" s="1">
        <v>85</v>
      </c>
      <c r="B34" s="1" t="s">
        <v>84</v>
      </c>
      <c r="C34" s="1"/>
      <c r="D34" s="2">
        <v>46052</v>
      </c>
      <c r="E34" s="3">
        <v>0.31388888888888888</v>
      </c>
      <c r="F34" s="3">
        <v>0.53055555555555556</v>
      </c>
      <c r="G34" s="3">
        <v>0.57986111111111116</v>
      </c>
      <c r="H34" s="3">
        <v>0.75</v>
      </c>
      <c r="I34" s="24">
        <v>0.18333333333333299</v>
      </c>
      <c r="J34" s="24">
        <f t="shared" si="18"/>
        <v>0.21666666666666667</v>
      </c>
      <c r="K34" s="48">
        <f t="shared" si="19"/>
        <v>4.9305555555555602E-2</v>
      </c>
      <c r="L34" s="24">
        <v>0.266666666666666</v>
      </c>
      <c r="M34" s="25">
        <f t="shared" si="20"/>
        <v>0.17013888888888884</v>
      </c>
      <c r="N34" s="25">
        <f t="shared" si="21"/>
        <v>0.38680555555555551</v>
      </c>
      <c r="O34" s="25">
        <v>0.36666666666666697</v>
      </c>
      <c r="P34" s="27">
        <f>N34-O34</f>
        <v>2.013888888888854E-2</v>
      </c>
    </row>
    <row r="35" spans="1:16">
      <c r="A35" s="1">
        <v>85</v>
      </c>
      <c r="B35" s="1" t="s">
        <v>84</v>
      </c>
      <c r="C35" s="1"/>
      <c r="D35" s="2">
        <v>46053</v>
      </c>
      <c r="E35" s="3">
        <v>0.28888888888888886</v>
      </c>
      <c r="F35" s="3">
        <v>0.50069444444444444</v>
      </c>
      <c r="G35" s="3">
        <v>0</v>
      </c>
      <c r="H35" s="3">
        <v>0</v>
      </c>
      <c r="I35" s="24">
        <v>0.18333333333333299</v>
      </c>
      <c r="J35" s="24">
        <f t="shared" ref="J35" si="24">F35-E35</f>
        <v>0.21180555555555558</v>
      </c>
      <c r="K35" s="48">
        <f t="shared" si="19"/>
        <v>-0.50069444444444444</v>
      </c>
      <c r="L35" s="24">
        <v>0.266666666666666</v>
      </c>
      <c r="M35" s="25">
        <f t="shared" ref="M35" si="25">H35-G35</f>
        <v>0</v>
      </c>
      <c r="N35" s="25">
        <f t="shared" ref="N35" si="26">M35+J35</f>
        <v>0.21180555555555558</v>
      </c>
      <c r="O35" s="25">
        <v>0</v>
      </c>
      <c r="P35" s="27">
        <f>N35-O35</f>
        <v>0.21180555555555558</v>
      </c>
    </row>
    <row r="36" spans="1:16">
      <c r="E36" s="45"/>
      <c r="F36" s="45"/>
      <c r="G36" s="45"/>
      <c r="H36" s="45"/>
      <c r="I36" s="46"/>
      <c r="J36" s="46"/>
      <c r="K36" s="46"/>
      <c r="L36" s="46"/>
      <c r="M36" s="15"/>
      <c r="N36" s="15"/>
      <c r="O36" s="15"/>
      <c r="P36" s="15"/>
    </row>
    <row r="37" spans="1:16">
      <c r="A37" s="4"/>
      <c r="B37" s="4"/>
      <c r="C37" s="5" t="s">
        <v>60</v>
      </c>
      <c r="D37" s="21">
        <f>SUM(P6,P9,P10,P11,P16,P17,P23,P25,P26,P30,P31,P32,P34,P35)</f>
        <v>0.24375000000000097</v>
      </c>
    </row>
    <row r="38" spans="1:16">
      <c r="A38" s="4"/>
      <c r="B38" s="4"/>
      <c r="C38" s="7" t="s">
        <v>62</v>
      </c>
      <c r="D38" s="8">
        <f>P4</f>
        <v>0</v>
      </c>
      <c r="E38" s="9"/>
      <c r="F38" s="68" t="s">
        <v>61</v>
      </c>
      <c r="G38" s="68"/>
      <c r="H38" s="68"/>
      <c r="I38" s="9"/>
      <c r="J38" s="68" t="s">
        <v>68</v>
      </c>
      <c r="K38" s="68"/>
      <c r="L38" s="68"/>
      <c r="M38" s="9"/>
      <c r="N38" s="68" t="s">
        <v>69</v>
      </c>
      <c r="O38" s="68"/>
      <c r="P38" s="68"/>
    </row>
    <row r="39" spans="1:16">
      <c r="A39" s="68" t="s">
        <v>64</v>
      </c>
      <c r="B39" s="68"/>
      <c r="C39" s="10" t="s">
        <v>65</v>
      </c>
      <c r="D39" s="34">
        <f>SUM(P12,P13,P18,P19,P20,P27,P33)</f>
        <v>1.4583333333335613E-2</v>
      </c>
      <c r="E39" s="9"/>
      <c r="F39" s="11"/>
      <c r="G39" s="67" t="s">
        <v>63</v>
      </c>
      <c r="H39" s="67"/>
      <c r="I39" s="9"/>
      <c r="J39" s="66" t="s">
        <v>70</v>
      </c>
      <c r="K39" s="66"/>
      <c r="L39" s="21">
        <v>7.4999999999999997E-2</v>
      </c>
      <c r="M39" s="9"/>
      <c r="N39" s="67" t="s">
        <v>77</v>
      </c>
      <c r="O39" s="67"/>
      <c r="P39" s="31">
        <f>L39</f>
        <v>7.4999999999999997E-2</v>
      </c>
    </row>
    <row r="40" spans="1:16">
      <c r="A40" s="13"/>
      <c r="B40" s="13"/>
      <c r="C40" s="47" t="s">
        <v>78</v>
      </c>
      <c r="D40" s="14">
        <v>0</v>
      </c>
      <c r="E40" s="15"/>
      <c r="F40" s="16"/>
      <c r="G40" s="67" t="s">
        <v>60</v>
      </c>
      <c r="H40" s="67"/>
      <c r="I40" s="9"/>
      <c r="J40" s="66" t="s">
        <v>98</v>
      </c>
      <c r="K40" s="66"/>
      <c r="L40" s="52">
        <v>0.22916666666666666</v>
      </c>
      <c r="M40" s="9"/>
      <c r="N40" s="67" t="s">
        <v>99</v>
      </c>
      <c r="O40" s="67"/>
      <c r="P40" s="52">
        <v>0.22916666666666666</v>
      </c>
    </row>
    <row r="41" spans="1:16">
      <c r="A41" s="9"/>
      <c r="B41" s="9"/>
      <c r="C41" s="17"/>
      <c r="D41" s="18"/>
      <c r="E41" s="9"/>
      <c r="F41" s="19"/>
      <c r="G41" s="12" t="s">
        <v>65</v>
      </c>
      <c r="H41" s="12"/>
      <c r="I41" s="9"/>
      <c r="J41" s="63" t="s">
        <v>81</v>
      </c>
      <c r="K41" s="64"/>
      <c r="L41" s="14">
        <v>0</v>
      </c>
      <c r="M41" s="9"/>
      <c r="N41" s="65" t="s">
        <v>72</v>
      </c>
      <c r="O41" s="65"/>
      <c r="P41" s="21">
        <f>P39+P40</f>
        <v>0.30416666666666664</v>
      </c>
    </row>
    <row r="42" spans="1:16">
      <c r="A42" s="9"/>
      <c r="B42" s="9"/>
      <c r="C42" s="20" t="s">
        <v>66</v>
      </c>
      <c r="D42" s="52">
        <f>SUM(D37-D39)</f>
        <v>0.22916666666666535</v>
      </c>
      <c r="E42" s="9"/>
      <c r="F42" s="22"/>
      <c r="G42" s="12" t="s">
        <v>79</v>
      </c>
      <c r="H42" s="12"/>
      <c r="I42" s="9"/>
      <c r="J42" s="66"/>
      <c r="K42" s="66"/>
      <c r="L42" s="28">
        <v>0</v>
      </c>
      <c r="M42" s="9"/>
      <c r="N42" s="67" t="s">
        <v>73</v>
      </c>
      <c r="O42" s="67"/>
      <c r="P42" s="29">
        <v>0</v>
      </c>
    </row>
    <row r="43" spans="1:16">
      <c r="E43" s="9"/>
      <c r="F43" s="23"/>
      <c r="G43" s="67" t="s">
        <v>71</v>
      </c>
      <c r="H43" s="67"/>
      <c r="I43" s="9"/>
      <c r="J43" s="65"/>
      <c r="K43" s="65"/>
      <c r="L43" s="30">
        <v>0</v>
      </c>
      <c r="M43" s="9"/>
      <c r="N43" s="65" t="s">
        <v>74</v>
      </c>
      <c r="O43" s="65"/>
      <c r="P43" s="21">
        <f>P41</f>
        <v>0.30416666666666664</v>
      </c>
    </row>
    <row r="45" spans="1:16">
      <c r="J45" s="53" t="s">
        <v>80</v>
      </c>
      <c r="K45" s="53"/>
    </row>
    <row r="46" spans="1:16">
      <c r="J46" s="53"/>
      <c r="K46" s="53"/>
    </row>
  </sheetData>
  <mergeCells count="45"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  <mergeCell ref="E29:P29"/>
    <mergeCell ref="F38:H38"/>
    <mergeCell ref="J38:L38"/>
    <mergeCell ref="N38:P38"/>
    <mergeCell ref="P3:P4"/>
    <mergeCell ref="E24:P24"/>
    <mergeCell ref="J3:J4"/>
    <mergeCell ref="K3:K4"/>
    <mergeCell ref="L3:L4"/>
    <mergeCell ref="M3:M4"/>
    <mergeCell ref="N3:N4"/>
    <mergeCell ref="O3:O4"/>
    <mergeCell ref="A39:B39"/>
    <mergeCell ref="G39:H39"/>
    <mergeCell ref="J39:K39"/>
    <mergeCell ref="N39:O39"/>
    <mergeCell ref="G40:H40"/>
    <mergeCell ref="J40:K40"/>
    <mergeCell ref="N40:O40"/>
    <mergeCell ref="J45:K46"/>
    <mergeCell ref="E5:P5"/>
    <mergeCell ref="E7:P7"/>
    <mergeCell ref="E8:P8"/>
    <mergeCell ref="E15:P15"/>
    <mergeCell ref="E21:P21"/>
    <mergeCell ref="E22:P22"/>
    <mergeCell ref="E28:P28"/>
    <mergeCell ref="E14:P14"/>
    <mergeCell ref="J41:K41"/>
    <mergeCell ref="N41:O41"/>
    <mergeCell ref="J42:K42"/>
    <mergeCell ref="N42:O42"/>
    <mergeCell ref="G43:H43"/>
    <mergeCell ref="J43:K43"/>
    <mergeCell ref="N43:O43"/>
  </mergeCells>
  <pageMargins left="0.51181102362204722" right="0.51181102362204722" top="0.78740157480314965" bottom="0.78740157480314965" header="0.31496062992125984" footer="0.31496062992125984"/>
  <pageSetup paperSize="9" scale="77" orientation="landscape" horizontalDpi="4294967292" verticalDpi="0" r:id="rId1"/>
  <ignoredErrors>
    <ignoredError sqref="P18 P33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5E12-EA97-452C-A927-BA20E69B0A09}">
  <sheetPr>
    <pageSetUpPr fitToPage="1"/>
  </sheetPr>
  <dimension ref="A1:P43"/>
  <sheetViews>
    <sheetView topLeftCell="A23" workbookViewId="0">
      <selection activeCell="P29" sqref="P29"/>
    </sheetView>
  </sheetViews>
  <sheetFormatPr defaultRowHeight="12.75"/>
  <cols>
    <col min="1" max="1" width="10.140625" customWidth="1"/>
    <col min="2" max="2" width="11.85546875" customWidth="1"/>
    <col min="3" max="3" width="17" customWidth="1"/>
    <col min="4" max="4" width="11.85546875" customWidth="1"/>
    <col min="15" max="15" width="10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100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46054</v>
      </c>
      <c r="E5" s="57" t="s">
        <v>67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9"/>
    </row>
    <row r="6" spans="1:16">
      <c r="A6" s="1">
        <v>85</v>
      </c>
      <c r="B6" s="1" t="s">
        <v>84</v>
      </c>
      <c r="C6" s="1"/>
      <c r="D6" s="2">
        <v>46055</v>
      </c>
      <c r="E6" s="3">
        <v>0.30972222222222223</v>
      </c>
      <c r="F6" s="3">
        <v>0.56597222222222221</v>
      </c>
      <c r="G6" s="3">
        <v>0.61597222222222225</v>
      </c>
      <c r="H6" s="3">
        <v>0.75</v>
      </c>
      <c r="I6" s="24">
        <v>0.18333333333333332</v>
      </c>
      <c r="J6" s="24">
        <f>F6-E6</f>
        <v>0.25624999999999998</v>
      </c>
      <c r="K6" s="48">
        <f>G6-F6</f>
        <v>5.0000000000000044E-2</v>
      </c>
      <c r="L6" s="24">
        <v>0.18333333333333332</v>
      </c>
      <c r="M6" s="25">
        <f>H6-G6</f>
        <v>0.13402777777777775</v>
      </c>
      <c r="N6" s="25">
        <f t="shared" ref="N6:N11" si="0">M6+J6</f>
        <v>0.39027777777777772</v>
      </c>
      <c r="O6" s="25">
        <f t="shared" ref="O6" si="1">I6+L6</f>
        <v>0.36666666666666664</v>
      </c>
      <c r="P6" s="27">
        <f t="shared" ref="P6:P11" si="2">N6-O6</f>
        <v>2.3611111111111083E-2</v>
      </c>
    </row>
    <row r="7" spans="1:16">
      <c r="A7" s="1">
        <v>85</v>
      </c>
      <c r="B7" s="1" t="s">
        <v>84</v>
      </c>
      <c r="C7" s="1"/>
      <c r="D7" s="2">
        <v>46056</v>
      </c>
      <c r="E7" s="3">
        <v>0.33333333333333331</v>
      </c>
      <c r="F7" s="3">
        <v>0.53333333333333333</v>
      </c>
      <c r="G7" s="3">
        <v>0.58333333333333337</v>
      </c>
      <c r="H7" s="3">
        <v>0.75</v>
      </c>
      <c r="I7" s="24">
        <v>0.18333333333333299</v>
      </c>
      <c r="J7" s="24">
        <f t="shared" ref="J7:J11" si="3">F7-E7</f>
        <v>0.2</v>
      </c>
      <c r="K7" s="48">
        <f>G7-F7</f>
        <v>5.0000000000000044E-2</v>
      </c>
      <c r="L7" s="24">
        <v>0.266666666666666</v>
      </c>
      <c r="M7" s="25">
        <f t="shared" ref="M7:M11" si="4">H7-G7</f>
        <v>0.16666666666666663</v>
      </c>
      <c r="N7" s="25">
        <f t="shared" si="0"/>
        <v>0.36666666666666664</v>
      </c>
      <c r="O7" s="25">
        <v>0.36666666666666697</v>
      </c>
      <c r="P7" s="27">
        <f t="shared" si="2"/>
        <v>0</v>
      </c>
    </row>
    <row r="8" spans="1:16">
      <c r="A8" s="1">
        <v>85</v>
      </c>
      <c r="B8" s="1" t="s">
        <v>84</v>
      </c>
      <c r="C8" s="1"/>
      <c r="D8" s="2">
        <v>46057</v>
      </c>
      <c r="E8" s="3">
        <v>0.33333333333333331</v>
      </c>
      <c r="F8" s="3">
        <v>0.53194444444444444</v>
      </c>
      <c r="G8" s="3">
        <v>0.58263888888888893</v>
      </c>
      <c r="H8" s="3">
        <v>0.75</v>
      </c>
      <c r="I8" s="24">
        <v>0.18333333333333299</v>
      </c>
      <c r="J8" s="24">
        <f t="shared" si="3"/>
        <v>0.19861111111111113</v>
      </c>
      <c r="K8" s="48">
        <f>G8-F8</f>
        <v>5.0694444444444486E-2</v>
      </c>
      <c r="L8" s="24">
        <v>0.266666666666666</v>
      </c>
      <c r="M8" s="25">
        <f t="shared" si="4"/>
        <v>0.16736111111111107</v>
      </c>
      <c r="N8" s="25">
        <f t="shared" si="0"/>
        <v>0.3659722222222222</v>
      </c>
      <c r="O8" s="25">
        <v>0.36666666666666697</v>
      </c>
      <c r="P8" s="49">
        <f t="shared" ref="P8:P10" si="5">O8-N8</f>
        <v>6.9444444444477504E-4</v>
      </c>
    </row>
    <row r="9" spans="1:16">
      <c r="A9" s="1">
        <v>85</v>
      </c>
      <c r="B9" s="1" t="s">
        <v>84</v>
      </c>
      <c r="C9" s="1"/>
      <c r="D9" s="2">
        <v>46058</v>
      </c>
      <c r="E9" s="3">
        <v>0.33333333333333331</v>
      </c>
      <c r="F9" s="3">
        <v>0.49583333333333335</v>
      </c>
      <c r="G9" s="3">
        <v>0.54652777777777772</v>
      </c>
      <c r="H9" s="3">
        <v>0.75</v>
      </c>
      <c r="I9" s="24">
        <v>0.18333333333333299</v>
      </c>
      <c r="J9" s="24">
        <f t="shared" si="3"/>
        <v>0.16250000000000003</v>
      </c>
      <c r="K9" s="48">
        <f>G9-F9</f>
        <v>5.0694444444444375E-2</v>
      </c>
      <c r="L9" s="24">
        <v>0.266666666666666</v>
      </c>
      <c r="M9" s="25">
        <f t="shared" si="4"/>
        <v>0.20347222222222228</v>
      </c>
      <c r="N9" s="25">
        <f t="shared" si="0"/>
        <v>0.36597222222222231</v>
      </c>
      <c r="O9" s="25">
        <v>0.36666666666666697</v>
      </c>
      <c r="P9" s="49">
        <f t="shared" si="5"/>
        <v>6.9444444444466402E-4</v>
      </c>
    </row>
    <row r="10" spans="1:16">
      <c r="A10" s="1">
        <v>85</v>
      </c>
      <c r="B10" s="1" t="s">
        <v>84</v>
      </c>
      <c r="C10" s="1"/>
      <c r="D10" s="2">
        <v>46059</v>
      </c>
      <c r="E10" s="3">
        <v>0.33333333333333331</v>
      </c>
      <c r="F10" s="3">
        <v>0.53541666666666665</v>
      </c>
      <c r="G10" s="3">
        <v>0.58680555555555558</v>
      </c>
      <c r="H10" s="3">
        <v>0.75</v>
      </c>
      <c r="I10" s="24">
        <v>0.18333333333333299</v>
      </c>
      <c r="J10" s="24">
        <f t="shared" si="3"/>
        <v>0.20208333333333334</v>
      </c>
      <c r="K10" s="48">
        <f>G10-F10</f>
        <v>5.1388888888888928E-2</v>
      </c>
      <c r="L10" s="24">
        <v>0.266666666666666</v>
      </c>
      <c r="M10" s="25">
        <f t="shared" si="4"/>
        <v>0.16319444444444442</v>
      </c>
      <c r="N10" s="25">
        <f t="shared" si="0"/>
        <v>0.36527777777777776</v>
      </c>
      <c r="O10" s="25">
        <v>0.36666666666666697</v>
      </c>
      <c r="P10" s="49">
        <f t="shared" si="5"/>
        <v>1.388888888889217E-3</v>
      </c>
    </row>
    <row r="11" spans="1:16">
      <c r="A11" s="1">
        <v>85</v>
      </c>
      <c r="B11" s="1" t="s">
        <v>84</v>
      </c>
      <c r="C11" s="1"/>
      <c r="D11" s="2">
        <v>46060</v>
      </c>
      <c r="E11" s="3">
        <v>0.33333333333333331</v>
      </c>
      <c r="F11" s="3">
        <v>0.53194444444444444</v>
      </c>
      <c r="G11" s="3">
        <v>0.58125000000000004</v>
      </c>
      <c r="H11" s="3">
        <v>0.75</v>
      </c>
      <c r="I11" s="24">
        <v>0.18333333333333299</v>
      </c>
      <c r="J11" s="24">
        <f t="shared" si="3"/>
        <v>0.19861111111111113</v>
      </c>
      <c r="K11" s="48">
        <f>G11-F11</f>
        <v>4.9305555555555602E-2</v>
      </c>
      <c r="L11" s="24">
        <v>0.266666666666666</v>
      </c>
      <c r="M11" s="25">
        <f t="shared" si="4"/>
        <v>0.16874999999999996</v>
      </c>
      <c r="N11" s="25">
        <f t="shared" si="0"/>
        <v>0.36736111111111108</v>
      </c>
      <c r="O11" s="25">
        <v>0</v>
      </c>
      <c r="P11" s="27">
        <f t="shared" si="2"/>
        <v>0.36736111111111108</v>
      </c>
    </row>
    <row r="12" spans="1:16">
      <c r="A12" s="1">
        <v>85</v>
      </c>
      <c r="B12" s="1" t="s">
        <v>84</v>
      </c>
      <c r="C12" s="1"/>
      <c r="D12" s="2">
        <v>46061</v>
      </c>
      <c r="E12" s="57" t="s">
        <v>67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9"/>
    </row>
    <row r="13" spans="1:16">
      <c r="A13" s="1">
        <v>85</v>
      </c>
      <c r="B13" s="1" t="s">
        <v>84</v>
      </c>
      <c r="C13" s="1"/>
      <c r="D13" s="2">
        <v>46062</v>
      </c>
      <c r="E13" s="3">
        <v>0.33333333333333331</v>
      </c>
      <c r="F13" s="3">
        <v>0.53680555555555554</v>
      </c>
      <c r="G13" s="3">
        <v>0.58819444444444446</v>
      </c>
      <c r="H13" s="3">
        <v>0.75416666666666665</v>
      </c>
      <c r="I13" s="24">
        <v>0.18333333333333332</v>
      </c>
      <c r="J13" s="24">
        <f>F13-E13</f>
        <v>0.20347222222222222</v>
      </c>
      <c r="K13" s="48">
        <f>G13-F13</f>
        <v>5.1388888888888928E-2</v>
      </c>
      <c r="L13" s="24">
        <v>0.18333333333333332</v>
      </c>
      <c r="M13" s="25">
        <f>H13-G13</f>
        <v>0.16597222222222219</v>
      </c>
      <c r="N13" s="25">
        <f t="shared" ref="N13:N17" si="6">M13+J13</f>
        <v>0.36944444444444441</v>
      </c>
      <c r="O13" s="25">
        <f t="shared" ref="O13" si="7">I13+L13</f>
        <v>0.36666666666666664</v>
      </c>
      <c r="P13" s="27">
        <f>N13-O13</f>
        <v>2.7777777777777679E-3</v>
      </c>
    </row>
    <row r="14" spans="1:16">
      <c r="A14" s="1">
        <v>85</v>
      </c>
      <c r="B14" s="1" t="s">
        <v>84</v>
      </c>
      <c r="C14" s="1"/>
      <c r="D14" s="2">
        <v>46063</v>
      </c>
      <c r="E14" s="3">
        <v>0.33333333333333331</v>
      </c>
      <c r="F14" s="3">
        <v>0.53333333333333333</v>
      </c>
      <c r="G14" s="3">
        <v>0.58263888888888893</v>
      </c>
      <c r="H14" s="3">
        <v>0.75</v>
      </c>
      <c r="I14" s="24">
        <v>0.18333333333333299</v>
      </c>
      <c r="J14" s="24">
        <f t="shared" ref="J14:J17" si="8">F14-E14</f>
        <v>0.2</v>
      </c>
      <c r="K14" s="48">
        <f>G14-F14</f>
        <v>4.9305555555555602E-2</v>
      </c>
      <c r="L14" s="24">
        <v>0.266666666666666</v>
      </c>
      <c r="M14" s="25">
        <f t="shared" ref="M14:M17" si="9">H14-G14</f>
        <v>0.16736111111111107</v>
      </c>
      <c r="N14" s="25">
        <f t="shared" si="6"/>
        <v>0.36736111111111108</v>
      </c>
      <c r="O14" s="25">
        <v>0.36666666666666697</v>
      </c>
      <c r="P14" s="27">
        <f>N14-O14</f>
        <v>6.9444444444410891E-4</v>
      </c>
    </row>
    <row r="15" spans="1:16">
      <c r="A15" s="1">
        <v>85</v>
      </c>
      <c r="B15" s="1" t="s">
        <v>84</v>
      </c>
      <c r="C15" s="1"/>
      <c r="D15" s="2">
        <v>46064</v>
      </c>
      <c r="E15" s="3">
        <v>0.33333333333333331</v>
      </c>
      <c r="F15" s="3">
        <v>0.53125</v>
      </c>
      <c r="G15" s="3">
        <v>0.58333333333333337</v>
      </c>
      <c r="H15" s="3">
        <v>0.75</v>
      </c>
      <c r="I15" s="24">
        <v>0.18333333333333299</v>
      </c>
      <c r="J15" s="24">
        <f t="shared" si="8"/>
        <v>0.19791666666666669</v>
      </c>
      <c r="K15" s="48">
        <f>G15-F15</f>
        <v>5.208333333333337E-2</v>
      </c>
      <c r="L15" s="24">
        <v>0.266666666666666</v>
      </c>
      <c r="M15" s="25">
        <f t="shared" si="9"/>
        <v>0.16666666666666663</v>
      </c>
      <c r="N15" s="25">
        <f t="shared" si="6"/>
        <v>0.36458333333333331</v>
      </c>
      <c r="O15" s="25">
        <v>0.36666666666666697</v>
      </c>
      <c r="P15" s="49">
        <f t="shared" ref="P15" si="10">O15-N15</f>
        <v>2.083333333333659E-3</v>
      </c>
    </row>
    <row r="16" spans="1:16">
      <c r="A16" s="1">
        <v>85</v>
      </c>
      <c r="B16" s="1" t="s">
        <v>84</v>
      </c>
      <c r="C16" s="1"/>
      <c r="D16" s="2">
        <v>46065</v>
      </c>
      <c r="E16" s="3">
        <v>0.33333333333333331</v>
      </c>
      <c r="F16" s="3">
        <v>0.54166666666666663</v>
      </c>
      <c r="G16" s="3">
        <v>0.59166666666666667</v>
      </c>
      <c r="H16" s="3">
        <v>0.75</v>
      </c>
      <c r="I16" s="24">
        <v>0.18333333333333299</v>
      </c>
      <c r="J16" s="24">
        <f t="shared" si="8"/>
        <v>0.20833333333333331</v>
      </c>
      <c r="K16" s="48">
        <f>G16-F16</f>
        <v>5.0000000000000044E-2</v>
      </c>
      <c r="L16" s="24">
        <v>0.266666666666666</v>
      </c>
      <c r="M16" s="25">
        <f t="shared" si="9"/>
        <v>0.15833333333333333</v>
      </c>
      <c r="N16" s="25">
        <f t="shared" si="6"/>
        <v>0.36666666666666664</v>
      </c>
      <c r="O16" s="25">
        <v>0.36666666666666697</v>
      </c>
      <c r="P16" s="27">
        <f>N16-O16</f>
        <v>0</v>
      </c>
    </row>
    <row r="17" spans="1:16">
      <c r="A17" s="1">
        <v>85</v>
      </c>
      <c r="B17" s="1" t="s">
        <v>84</v>
      </c>
      <c r="C17" s="1"/>
      <c r="D17" s="2">
        <v>46066</v>
      </c>
      <c r="E17" s="3">
        <v>0.33333333333333331</v>
      </c>
      <c r="F17" s="3">
        <v>0.53333333333333333</v>
      </c>
      <c r="G17" s="3">
        <v>0.58333333333333337</v>
      </c>
      <c r="H17" s="3">
        <v>0.75</v>
      </c>
      <c r="I17" s="24">
        <v>0.18333333333333299</v>
      </c>
      <c r="J17" s="24">
        <f t="shared" si="8"/>
        <v>0.2</v>
      </c>
      <c r="K17" s="48">
        <f>G17-F17</f>
        <v>5.0000000000000044E-2</v>
      </c>
      <c r="L17" s="24">
        <v>0.266666666666666</v>
      </c>
      <c r="M17" s="25">
        <f t="shared" si="9"/>
        <v>0.16666666666666663</v>
      </c>
      <c r="N17" s="25">
        <f t="shared" si="6"/>
        <v>0.36666666666666664</v>
      </c>
      <c r="O17" s="25">
        <v>0.36666666666666697</v>
      </c>
      <c r="P17" s="27">
        <f>N17-O17</f>
        <v>0</v>
      </c>
    </row>
    <row r="18" spans="1:16">
      <c r="A18" s="1">
        <v>85</v>
      </c>
      <c r="B18" s="1" t="s">
        <v>84</v>
      </c>
      <c r="C18" s="1"/>
      <c r="D18" s="2">
        <v>46067</v>
      </c>
      <c r="E18" s="60" t="s">
        <v>75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2"/>
    </row>
    <row r="19" spans="1:16">
      <c r="A19" s="1">
        <v>85</v>
      </c>
      <c r="B19" s="1" t="s">
        <v>84</v>
      </c>
      <c r="C19" s="1"/>
      <c r="D19" s="2">
        <v>46068</v>
      </c>
      <c r="E19" s="57" t="s">
        <v>67</v>
      </c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9"/>
    </row>
    <row r="20" spans="1:16">
      <c r="A20" s="1">
        <v>85</v>
      </c>
      <c r="B20" s="1" t="s">
        <v>84</v>
      </c>
      <c r="C20" s="1"/>
      <c r="D20" s="2">
        <v>46069</v>
      </c>
      <c r="E20" s="3">
        <v>0</v>
      </c>
      <c r="F20" s="3">
        <v>0</v>
      </c>
      <c r="G20" s="3">
        <v>0</v>
      </c>
      <c r="H20" s="3">
        <v>0</v>
      </c>
      <c r="I20" s="24">
        <v>0.18333333333333332</v>
      </c>
      <c r="J20" s="24">
        <f>F20-E20</f>
        <v>0</v>
      </c>
      <c r="K20" s="48">
        <f>G20-F20</f>
        <v>0</v>
      </c>
      <c r="L20" s="24">
        <v>0.18333333333333332</v>
      </c>
      <c r="M20" s="25">
        <f>H20-G20</f>
        <v>0</v>
      </c>
      <c r="N20" s="25">
        <f t="shared" ref="N20:N24" si="11">M20+J20</f>
        <v>0</v>
      </c>
      <c r="O20" s="25">
        <f t="shared" ref="O20" si="12">I20+L20</f>
        <v>0.36666666666666664</v>
      </c>
      <c r="P20" s="49">
        <f t="shared" ref="P20:P22" si="13">O20-N20</f>
        <v>0.36666666666666664</v>
      </c>
    </row>
    <row r="21" spans="1:16">
      <c r="A21" s="1">
        <v>85</v>
      </c>
      <c r="B21" s="1" t="s">
        <v>84</v>
      </c>
      <c r="C21" s="1"/>
      <c r="D21" s="2">
        <v>46070</v>
      </c>
      <c r="E21" s="3">
        <v>0</v>
      </c>
      <c r="F21" s="3">
        <v>0</v>
      </c>
      <c r="G21" s="3">
        <v>0</v>
      </c>
      <c r="H21" s="3">
        <v>0</v>
      </c>
      <c r="I21" s="24">
        <v>0.18333333333333299</v>
      </c>
      <c r="J21" s="24">
        <f t="shared" ref="J21:J24" si="14">F21-E21</f>
        <v>0</v>
      </c>
      <c r="K21" s="48">
        <f>G21-F21</f>
        <v>0</v>
      </c>
      <c r="L21" s="24">
        <v>0.266666666666666</v>
      </c>
      <c r="M21" s="25">
        <f t="shared" ref="M21:M24" si="15">H21-G21</f>
        <v>0</v>
      </c>
      <c r="N21" s="25">
        <f t="shared" si="11"/>
        <v>0</v>
      </c>
      <c r="O21" s="25">
        <v>0.36666666666666697</v>
      </c>
      <c r="P21" s="49">
        <f t="shared" si="13"/>
        <v>0.36666666666666697</v>
      </c>
    </row>
    <row r="22" spans="1:16">
      <c r="A22" s="1">
        <v>85</v>
      </c>
      <c r="B22" s="1" t="s">
        <v>84</v>
      </c>
      <c r="C22" s="1"/>
      <c r="D22" s="2">
        <v>46071</v>
      </c>
      <c r="E22" s="3">
        <v>0.33333333333333331</v>
      </c>
      <c r="F22" s="3">
        <v>0.53402777777777777</v>
      </c>
      <c r="G22" s="3">
        <v>0.58472222222222225</v>
      </c>
      <c r="H22" s="3">
        <v>0.75</v>
      </c>
      <c r="I22" s="24">
        <v>0.18333333333333299</v>
      </c>
      <c r="J22" s="24">
        <f t="shared" si="14"/>
        <v>0.20069444444444445</v>
      </c>
      <c r="K22" s="48">
        <f>G22-F22</f>
        <v>5.0694444444444486E-2</v>
      </c>
      <c r="L22" s="24">
        <v>0.266666666666666</v>
      </c>
      <c r="M22" s="25">
        <f t="shared" si="15"/>
        <v>0.16527777777777775</v>
      </c>
      <c r="N22" s="25">
        <f t="shared" si="11"/>
        <v>0.3659722222222222</v>
      </c>
      <c r="O22" s="25">
        <v>0.36666666666666697</v>
      </c>
      <c r="P22" s="49">
        <f t="shared" si="13"/>
        <v>6.9444444444477504E-4</v>
      </c>
    </row>
    <row r="23" spans="1:16">
      <c r="A23" s="1">
        <v>85</v>
      </c>
      <c r="B23" s="1" t="s">
        <v>84</v>
      </c>
      <c r="C23" s="1"/>
      <c r="D23" s="2">
        <v>46072</v>
      </c>
      <c r="E23" s="3">
        <v>0.33333333333333331</v>
      </c>
      <c r="F23" s="3">
        <v>0.53125</v>
      </c>
      <c r="G23" s="3">
        <v>0.58125000000000004</v>
      </c>
      <c r="H23" s="3">
        <v>0.75</v>
      </c>
      <c r="I23" s="24">
        <v>0.18333333333333299</v>
      </c>
      <c r="J23" s="24">
        <f t="shared" si="14"/>
        <v>0.19791666666666669</v>
      </c>
      <c r="K23" s="48">
        <f>G23-F23</f>
        <v>5.0000000000000044E-2</v>
      </c>
      <c r="L23" s="24">
        <v>0.266666666666666</v>
      </c>
      <c r="M23" s="25">
        <f t="shared" si="15"/>
        <v>0.16874999999999996</v>
      </c>
      <c r="N23" s="25">
        <f t="shared" si="11"/>
        <v>0.36666666666666664</v>
      </c>
      <c r="O23" s="25">
        <v>0.36666666666666697</v>
      </c>
      <c r="P23" s="27">
        <f>N23-O23</f>
        <v>0</v>
      </c>
    </row>
    <row r="24" spans="1:16">
      <c r="A24" s="1">
        <v>85</v>
      </c>
      <c r="B24" s="1" t="s">
        <v>84</v>
      </c>
      <c r="C24" s="1"/>
      <c r="D24" s="2">
        <v>46073</v>
      </c>
      <c r="E24" s="3">
        <v>0.3263888888888889</v>
      </c>
      <c r="F24" s="3">
        <v>0.54305555555555551</v>
      </c>
      <c r="G24" s="3">
        <v>0.59375</v>
      </c>
      <c r="H24" s="3">
        <v>0.75</v>
      </c>
      <c r="I24" s="24">
        <v>0.18333333333333299</v>
      </c>
      <c r="J24" s="24">
        <f t="shared" si="14"/>
        <v>0.21666666666666662</v>
      </c>
      <c r="K24" s="48">
        <f>G24-F24</f>
        <v>5.0694444444444486E-2</v>
      </c>
      <c r="L24" s="24">
        <v>0.266666666666666</v>
      </c>
      <c r="M24" s="25">
        <f t="shared" si="15"/>
        <v>0.15625</v>
      </c>
      <c r="N24" s="25">
        <f t="shared" si="11"/>
        <v>0.37291666666666662</v>
      </c>
      <c r="O24" s="25">
        <v>0.36666666666666697</v>
      </c>
      <c r="P24" s="27">
        <f>N24-O24</f>
        <v>6.2499999999996447E-3</v>
      </c>
    </row>
    <row r="25" spans="1:16">
      <c r="A25" s="1">
        <v>85</v>
      </c>
      <c r="B25" s="1" t="s">
        <v>84</v>
      </c>
      <c r="C25" s="1"/>
      <c r="D25" s="2">
        <v>46074</v>
      </c>
      <c r="E25" s="60" t="s">
        <v>75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2"/>
    </row>
    <row r="26" spans="1:16">
      <c r="A26" s="1">
        <v>85</v>
      </c>
      <c r="B26" s="1" t="s">
        <v>84</v>
      </c>
      <c r="C26" s="1"/>
      <c r="D26" s="2">
        <v>46075</v>
      </c>
      <c r="E26" s="57" t="s">
        <v>67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9"/>
    </row>
    <row r="27" spans="1:16">
      <c r="A27" s="1">
        <v>85</v>
      </c>
      <c r="B27" s="1" t="s">
        <v>84</v>
      </c>
      <c r="C27" s="1"/>
      <c r="D27" s="2">
        <v>46076</v>
      </c>
      <c r="E27" s="3">
        <v>0.33333333333333331</v>
      </c>
      <c r="F27" s="3">
        <v>0.53402777777777777</v>
      </c>
      <c r="G27" s="3">
        <v>0.58333333333333337</v>
      </c>
      <c r="H27" s="3">
        <v>0.75</v>
      </c>
      <c r="I27" s="24">
        <v>0.18333333333333332</v>
      </c>
      <c r="J27" s="24">
        <f>F27-E27</f>
        <v>0.20069444444444445</v>
      </c>
      <c r="K27" s="48">
        <f>G27-F27</f>
        <v>4.9305555555555602E-2</v>
      </c>
      <c r="L27" s="24">
        <v>0.18333333333333332</v>
      </c>
      <c r="M27" s="25">
        <f>H27-G27</f>
        <v>0.16666666666666663</v>
      </c>
      <c r="N27" s="25">
        <f t="shared" ref="N27:N31" si="16">M27+J27</f>
        <v>0.36736111111111108</v>
      </c>
      <c r="O27" s="25">
        <f t="shared" ref="O27" si="17">I27+L27</f>
        <v>0.36666666666666664</v>
      </c>
      <c r="P27" s="27">
        <f>N27-O27</f>
        <v>6.9444444444444198E-4</v>
      </c>
    </row>
    <row r="28" spans="1:16">
      <c r="A28" s="1">
        <v>85</v>
      </c>
      <c r="B28" s="1" t="s">
        <v>84</v>
      </c>
      <c r="C28" s="1"/>
      <c r="D28" s="2">
        <v>46077</v>
      </c>
      <c r="E28" s="3">
        <v>0.32777777777777778</v>
      </c>
      <c r="F28" s="3">
        <v>0.53333333333333333</v>
      </c>
      <c r="G28" s="3">
        <v>0.58333333333333337</v>
      </c>
      <c r="H28" s="3">
        <v>0.75</v>
      </c>
      <c r="I28" s="24">
        <v>0.18333333333333299</v>
      </c>
      <c r="J28" s="24">
        <f t="shared" ref="J28:J31" si="18">F28-E28</f>
        <v>0.20555555555555555</v>
      </c>
      <c r="K28" s="48">
        <f>G28-F28</f>
        <v>5.0000000000000044E-2</v>
      </c>
      <c r="L28" s="24">
        <v>0.266666666666666</v>
      </c>
      <c r="M28" s="25">
        <f t="shared" ref="M28:M31" si="19">H28-G28</f>
        <v>0.16666666666666663</v>
      </c>
      <c r="N28" s="25">
        <f t="shared" si="16"/>
        <v>0.37222222222222218</v>
      </c>
      <c r="O28" s="25">
        <v>0.36666666666666697</v>
      </c>
      <c r="P28" s="27">
        <f>N28-O28</f>
        <v>5.5555555555552028E-3</v>
      </c>
    </row>
    <row r="29" spans="1:16">
      <c r="A29" s="1">
        <v>85</v>
      </c>
      <c r="B29" s="1" t="s">
        <v>84</v>
      </c>
      <c r="C29" s="1"/>
      <c r="D29" s="2">
        <v>46078</v>
      </c>
      <c r="E29" s="3">
        <v>0.33333333333333331</v>
      </c>
      <c r="F29" s="3">
        <v>0.54722222222222228</v>
      </c>
      <c r="G29" s="3">
        <v>0.59791666666666665</v>
      </c>
      <c r="H29" s="3">
        <v>0.75</v>
      </c>
      <c r="I29" s="24">
        <v>0.18333333333333299</v>
      </c>
      <c r="J29" s="24">
        <f t="shared" si="18"/>
        <v>0.21388888888888896</v>
      </c>
      <c r="K29" s="48">
        <f>G29-F29</f>
        <v>5.0694444444444375E-2</v>
      </c>
      <c r="L29" s="24">
        <v>0.266666666666666</v>
      </c>
      <c r="M29" s="25">
        <f t="shared" si="19"/>
        <v>0.15208333333333335</v>
      </c>
      <c r="N29" s="25">
        <f t="shared" si="16"/>
        <v>0.36597222222222231</v>
      </c>
      <c r="O29" s="25">
        <v>0.36666666666666697</v>
      </c>
      <c r="P29" s="49">
        <f t="shared" ref="P29" si="20">O29-N29</f>
        <v>6.9444444444466402E-4</v>
      </c>
    </row>
    <row r="30" spans="1:16">
      <c r="A30" s="1">
        <v>85</v>
      </c>
      <c r="B30" s="1" t="s">
        <v>84</v>
      </c>
      <c r="C30" s="1"/>
      <c r="D30" s="2">
        <v>46079</v>
      </c>
      <c r="E30" s="3">
        <v>0.32847222222222222</v>
      </c>
      <c r="F30" s="3">
        <v>0.53611111111111109</v>
      </c>
      <c r="G30" s="3">
        <v>0.58611111111111114</v>
      </c>
      <c r="H30" s="3">
        <v>0.75</v>
      </c>
      <c r="I30" s="24">
        <v>0.18333333333333299</v>
      </c>
      <c r="J30" s="24">
        <f t="shared" si="18"/>
        <v>0.20763888888888887</v>
      </c>
      <c r="K30" s="48">
        <f>G30-F30</f>
        <v>5.0000000000000044E-2</v>
      </c>
      <c r="L30" s="24">
        <v>0.266666666666666</v>
      </c>
      <c r="M30" s="25">
        <f t="shared" si="19"/>
        <v>0.16388888888888886</v>
      </c>
      <c r="N30" s="25">
        <f t="shared" si="16"/>
        <v>0.37152777777777773</v>
      </c>
      <c r="O30" s="25">
        <v>0.36666666666666697</v>
      </c>
      <c r="P30" s="27">
        <f>N30-O30</f>
        <v>4.8611111111107608E-3</v>
      </c>
    </row>
    <row r="31" spans="1:16">
      <c r="A31" s="1">
        <v>85</v>
      </c>
      <c r="B31" s="1" t="s">
        <v>84</v>
      </c>
      <c r="C31" s="1"/>
      <c r="D31" s="2">
        <v>46080</v>
      </c>
      <c r="E31" s="3">
        <v>0.32500000000000001</v>
      </c>
      <c r="F31" s="3">
        <v>0.53680555555555554</v>
      </c>
      <c r="G31" s="3">
        <v>0.58611111111111114</v>
      </c>
      <c r="H31" s="3">
        <v>0.75</v>
      </c>
      <c r="I31" s="24">
        <v>0.18333333333333299</v>
      </c>
      <c r="J31" s="24">
        <f t="shared" si="18"/>
        <v>0.21180555555555552</v>
      </c>
      <c r="K31" s="48">
        <f>G31-F31</f>
        <v>4.9305555555555602E-2</v>
      </c>
      <c r="L31" s="24">
        <v>0.266666666666666</v>
      </c>
      <c r="M31" s="25">
        <f t="shared" si="19"/>
        <v>0.16388888888888886</v>
      </c>
      <c r="N31" s="25">
        <f t="shared" si="16"/>
        <v>0.37569444444444439</v>
      </c>
      <c r="O31" s="25">
        <v>0.36666666666666697</v>
      </c>
      <c r="P31" s="27">
        <f>N31-O31</f>
        <v>9.0277777777774126E-3</v>
      </c>
    </row>
    <row r="32" spans="1:16">
      <c r="A32" s="1">
        <v>85</v>
      </c>
      <c r="B32" s="1" t="s">
        <v>84</v>
      </c>
      <c r="C32" s="1"/>
      <c r="D32" s="2">
        <v>46081</v>
      </c>
      <c r="E32" s="3">
        <v>0.28888888888888886</v>
      </c>
      <c r="F32" s="3">
        <v>0.4597222222222222</v>
      </c>
      <c r="G32" s="3">
        <v>0</v>
      </c>
      <c r="H32" s="3">
        <v>0</v>
      </c>
      <c r="I32" s="24">
        <v>0.18333333333333299</v>
      </c>
      <c r="J32" s="24">
        <f t="shared" ref="J32" si="21">F32-E32</f>
        <v>0.17083333333333334</v>
      </c>
      <c r="K32" s="48">
        <f>G32-F32</f>
        <v>-0.4597222222222222</v>
      </c>
      <c r="L32" s="24">
        <v>0.266666666666666</v>
      </c>
      <c r="M32" s="25">
        <f t="shared" ref="M32" si="22">H32-G32</f>
        <v>0</v>
      </c>
      <c r="N32" s="25">
        <f t="shared" ref="N32" si="23">M32+J32</f>
        <v>0.17083333333333334</v>
      </c>
      <c r="O32" s="25">
        <v>0</v>
      </c>
      <c r="P32" s="27">
        <f>N32-O32</f>
        <v>0.17083333333333334</v>
      </c>
    </row>
    <row r="33" spans="1:16">
      <c r="E33" s="45"/>
      <c r="F33" s="45"/>
      <c r="G33" s="45"/>
      <c r="H33" s="45"/>
      <c r="I33" s="46"/>
      <c r="J33" s="46"/>
      <c r="K33" s="46"/>
      <c r="L33" s="46"/>
      <c r="M33" s="15"/>
      <c r="N33" s="15"/>
      <c r="O33" s="15"/>
      <c r="P33" s="15"/>
    </row>
    <row r="34" spans="1:16">
      <c r="A34" s="4"/>
      <c r="B34" s="4"/>
      <c r="C34" s="5" t="s">
        <v>60</v>
      </c>
      <c r="D34" s="21">
        <f>SUM(P6,P7,P11,P13,P14,P16,P17,P23,P24,P27,P28,P30,P31,P32)</f>
        <v>0.59166666666666479</v>
      </c>
    </row>
    <row r="35" spans="1:16">
      <c r="A35" s="4"/>
      <c r="B35" s="4"/>
      <c r="C35" s="7" t="s">
        <v>62</v>
      </c>
      <c r="D35" s="8">
        <f>P4</f>
        <v>0</v>
      </c>
      <c r="E35" s="9"/>
      <c r="F35" s="68" t="s">
        <v>61</v>
      </c>
      <c r="G35" s="68"/>
      <c r="H35" s="68"/>
      <c r="I35" s="9"/>
      <c r="J35" s="68" t="s">
        <v>68</v>
      </c>
      <c r="K35" s="68"/>
      <c r="L35" s="68"/>
      <c r="M35" s="9"/>
      <c r="N35" s="68" t="s">
        <v>69</v>
      </c>
      <c r="O35" s="68"/>
      <c r="P35" s="68"/>
    </row>
    <row r="36" spans="1:16">
      <c r="A36" s="68" t="s">
        <v>64</v>
      </c>
      <c r="B36" s="68"/>
      <c r="C36" s="10" t="s">
        <v>65</v>
      </c>
      <c r="D36" s="34">
        <f>SUM(P8,P9,P10,P15,P20,P21,P22,P29)</f>
        <v>0.73958333333333537</v>
      </c>
      <c r="E36" s="9"/>
      <c r="F36" s="11"/>
      <c r="G36" s="67" t="s">
        <v>63</v>
      </c>
      <c r="H36" s="67"/>
      <c r="I36" s="9"/>
      <c r="J36" s="66" t="s">
        <v>70</v>
      </c>
      <c r="K36" s="66"/>
      <c r="L36" s="21">
        <v>0.30416666666666664</v>
      </c>
      <c r="M36" s="9"/>
      <c r="N36" s="67" t="s">
        <v>77</v>
      </c>
      <c r="O36" s="67"/>
      <c r="P36" s="31">
        <f>L36</f>
        <v>0.30416666666666664</v>
      </c>
    </row>
    <row r="37" spans="1:16">
      <c r="A37" s="13"/>
      <c r="B37" s="13"/>
      <c r="C37" s="47" t="s">
        <v>78</v>
      </c>
      <c r="D37" s="14">
        <v>0</v>
      </c>
      <c r="E37" s="15"/>
      <c r="F37" s="16"/>
      <c r="G37" s="67" t="s">
        <v>60</v>
      </c>
      <c r="H37" s="67"/>
      <c r="I37" s="9"/>
      <c r="J37" s="66" t="s">
        <v>101</v>
      </c>
      <c r="K37" s="66"/>
      <c r="L37" s="34">
        <v>0.14791666666666667</v>
      </c>
      <c r="M37" s="9"/>
      <c r="N37" s="67" t="s">
        <v>102</v>
      </c>
      <c r="O37" s="67"/>
      <c r="P37" s="34">
        <v>0.14791666666666667</v>
      </c>
    </row>
    <row r="38" spans="1:16">
      <c r="A38" s="9"/>
      <c r="B38" s="9"/>
      <c r="C38" s="17"/>
      <c r="D38" s="18"/>
      <c r="E38" s="9"/>
      <c r="F38" s="19"/>
      <c r="G38" s="12" t="s">
        <v>65</v>
      </c>
      <c r="H38" s="12"/>
      <c r="I38" s="9"/>
      <c r="J38" s="63" t="s">
        <v>81</v>
      </c>
      <c r="K38" s="64"/>
      <c r="L38" s="14">
        <v>0</v>
      </c>
      <c r="M38" s="9"/>
      <c r="N38" s="65" t="s">
        <v>72</v>
      </c>
      <c r="O38" s="65"/>
      <c r="P38" s="21">
        <f>P36-P37</f>
        <v>0.15624999999999997</v>
      </c>
    </row>
    <row r="39" spans="1:16">
      <c r="A39" s="9"/>
      <c r="B39" s="9"/>
      <c r="C39" s="20" t="s">
        <v>66</v>
      </c>
      <c r="D39" s="34">
        <f>SUM(D36-D34)</f>
        <v>0.14791666666667058</v>
      </c>
      <c r="E39" s="9"/>
      <c r="F39" s="22"/>
      <c r="G39" s="12" t="s">
        <v>79</v>
      </c>
      <c r="H39" s="12"/>
      <c r="I39" s="9"/>
      <c r="J39" s="66"/>
      <c r="K39" s="66"/>
      <c r="L39" s="28">
        <v>0</v>
      </c>
      <c r="M39" s="9"/>
      <c r="N39" s="67" t="s">
        <v>73</v>
      </c>
      <c r="O39" s="67"/>
      <c r="P39" s="29">
        <v>0</v>
      </c>
    </row>
    <row r="40" spans="1:16">
      <c r="E40" s="9"/>
      <c r="F40" s="23"/>
      <c r="G40" s="67" t="s">
        <v>71</v>
      </c>
      <c r="H40" s="67"/>
      <c r="I40" s="9"/>
      <c r="J40" s="65"/>
      <c r="K40" s="65"/>
      <c r="L40" s="30">
        <v>0</v>
      </c>
      <c r="M40" s="9"/>
      <c r="N40" s="65" t="s">
        <v>74</v>
      </c>
      <c r="O40" s="65"/>
      <c r="P40" s="21">
        <f>P38</f>
        <v>0.15624999999999997</v>
      </c>
    </row>
    <row r="42" spans="1:16">
      <c r="J42" s="53" t="s">
        <v>80</v>
      </c>
      <c r="K42" s="53"/>
    </row>
    <row r="43" spans="1:16">
      <c r="J43" s="53"/>
      <c r="K43" s="53"/>
    </row>
  </sheetData>
  <mergeCells count="41">
    <mergeCell ref="J42:K43"/>
    <mergeCell ref="E12:P12"/>
    <mergeCell ref="E18:P18"/>
    <mergeCell ref="E19:P19"/>
    <mergeCell ref="E25:P25"/>
    <mergeCell ref="E26:P26"/>
    <mergeCell ref="J38:K38"/>
    <mergeCell ref="N38:O38"/>
    <mergeCell ref="J39:K39"/>
    <mergeCell ref="N39:O39"/>
    <mergeCell ref="G40:H40"/>
    <mergeCell ref="J40:K40"/>
    <mergeCell ref="N40:O40"/>
    <mergeCell ref="F35:H35"/>
    <mergeCell ref="J35:L35"/>
    <mergeCell ref="N35:P35"/>
    <mergeCell ref="A36:B36"/>
    <mergeCell ref="G36:H36"/>
    <mergeCell ref="J36:K36"/>
    <mergeCell ref="N36:O36"/>
    <mergeCell ref="G37:H37"/>
    <mergeCell ref="J37:K37"/>
    <mergeCell ref="N37:O37"/>
    <mergeCell ref="E5:P5"/>
    <mergeCell ref="J3:J4"/>
    <mergeCell ref="K3:K4"/>
    <mergeCell ref="L3:L4"/>
    <mergeCell ref="M3:M4"/>
    <mergeCell ref="N3:N4"/>
    <mergeCell ref="O3:O4"/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  <mergeCell ref="P3:P4"/>
  </mergeCells>
  <pageMargins left="0.51181102362204722" right="0.51181102362204722" top="0.78740157480314965" bottom="0.78740157480314965" header="0.31496062992125984" footer="0.31496062992125984"/>
  <pageSetup paperSize="9" scale="82" orientation="landscape" horizontalDpi="4294967293" verticalDpi="0" r:id="rId1"/>
  <ignoredErrors>
    <ignoredError sqref="P8 P15 P2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4595-21F3-4586-AA84-97B5BA0B2B0E}">
  <sheetPr>
    <pageSetUpPr fitToPage="1"/>
  </sheetPr>
  <dimension ref="A1:P46"/>
  <sheetViews>
    <sheetView topLeftCell="A29" workbookViewId="0">
      <selection activeCell="J51" sqref="J51"/>
    </sheetView>
  </sheetViews>
  <sheetFormatPr defaultRowHeight="12.75"/>
  <cols>
    <col min="2" max="2" width="11.42578125" customWidth="1"/>
    <col min="3" max="3" width="17.140625" customWidth="1"/>
    <col min="4" max="4" width="12.7109375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103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46082</v>
      </c>
      <c r="E5" s="57" t="s">
        <v>67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9"/>
    </row>
    <row r="6" spans="1:16">
      <c r="A6" s="1">
        <v>85</v>
      </c>
      <c r="B6" s="1" t="s">
        <v>84</v>
      </c>
      <c r="C6" s="1"/>
      <c r="D6" s="2">
        <v>46083</v>
      </c>
      <c r="E6" s="3">
        <v>0.33333333333333331</v>
      </c>
      <c r="F6" s="3">
        <v>0.53472222222222221</v>
      </c>
      <c r="G6" s="3">
        <v>0.58402777777777781</v>
      </c>
      <c r="H6" s="38">
        <v>0.75</v>
      </c>
      <c r="I6" s="24">
        <v>0.18333333333333299</v>
      </c>
      <c r="J6" s="24">
        <f t="shared" ref="J6:K10" si="0">F6-E6</f>
        <v>0.2013888888888889</v>
      </c>
      <c r="K6" s="48">
        <f t="shared" si="0"/>
        <v>4.9305555555555602E-2</v>
      </c>
      <c r="L6" s="24">
        <v>0.266666666666666</v>
      </c>
      <c r="M6" s="25">
        <f t="shared" ref="M6:M10" si="1">H6-G6</f>
        <v>0.16597222222222219</v>
      </c>
      <c r="N6" s="25">
        <f t="shared" ref="N6:N10" si="2">M6+J6</f>
        <v>0.36736111111111108</v>
      </c>
      <c r="O6" s="25">
        <v>0.36666666666666697</v>
      </c>
      <c r="P6" s="27">
        <f t="shared" ref="P6:P10" si="3">N6-O6</f>
        <v>6.9444444444410891E-4</v>
      </c>
    </row>
    <row r="7" spans="1:16">
      <c r="A7" s="1">
        <v>85</v>
      </c>
      <c r="B7" s="1" t="s">
        <v>84</v>
      </c>
      <c r="C7" s="1"/>
      <c r="D7" s="2">
        <v>46084</v>
      </c>
      <c r="E7" s="3">
        <v>0.33333333333333331</v>
      </c>
      <c r="F7" s="3">
        <v>0.53333333333333333</v>
      </c>
      <c r="G7" s="3">
        <v>0.58333333333333337</v>
      </c>
      <c r="H7" s="3">
        <v>0.75</v>
      </c>
      <c r="I7" s="24">
        <v>0.18333333333333299</v>
      </c>
      <c r="J7" s="24">
        <f t="shared" si="0"/>
        <v>0.2</v>
      </c>
      <c r="K7" s="48">
        <f t="shared" si="0"/>
        <v>5.0000000000000044E-2</v>
      </c>
      <c r="L7" s="24">
        <v>0.266666666666666</v>
      </c>
      <c r="M7" s="25">
        <f t="shared" si="1"/>
        <v>0.16666666666666663</v>
      </c>
      <c r="N7" s="25">
        <f t="shared" si="2"/>
        <v>0.36666666666666664</v>
      </c>
      <c r="O7" s="25">
        <v>0.36666666666666697</v>
      </c>
      <c r="P7" s="27">
        <f t="shared" si="3"/>
        <v>0</v>
      </c>
    </row>
    <row r="8" spans="1:16">
      <c r="A8" s="1">
        <v>85</v>
      </c>
      <c r="B8" s="1" t="s">
        <v>84</v>
      </c>
      <c r="C8" s="1"/>
      <c r="D8" s="2">
        <v>46085</v>
      </c>
      <c r="E8" s="3">
        <v>0.33333333333333331</v>
      </c>
      <c r="F8" s="3">
        <v>0.53402777777777777</v>
      </c>
      <c r="G8" s="3">
        <v>0.58402777777777781</v>
      </c>
      <c r="H8" s="38">
        <v>0.75</v>
      </c>
      <c r="I8" s="24">
        <v>0.18333333333333299</v>
      </c>
      <c r="J8" s="24">
        <f t="shared" si="0"/>
        <v>0.20069444444444445</v>
      </c>
      <c r="K8" s="48">
        <f t="shared" si="0"/>
        <v>5.0000000000000044E-2</v>
      </c>
      <c r="L8" s="24">
        <v>0.266666666666666</v>
      </c>
      <c r="M8" s="25">
        <f t="shared" si="1"/>
        <v>0.16597222222222219</v>
      </c>
      <c r="N8" s="25">
        <f t="shared" si="2"/>
        <v>0.36666666666666664</v>
      </c>
      <c r="O8" s="25">
        <v>0.36666666666666697</v>
      </c>
      <c r="P8" s="27">
        <f t="shared" si="3"/>
        <v>0</v>
      </c>
    </row>
    <row r="9" spans="1:16">
      <c r="A9" s="1">
        <v>85</v>
      </c>
      <c r="B9" s="1" t="s">
        <v>84</v>
      </c>
      <c r="C9" s="1"/>
      <c r="D9" s="2">
        <v>46086</v>
      </c>
      <c r="E9" s="3">
        <v>0.33333333333333331</v>
      </c>
      <c r="F9" s="3">
        <v>0.53263888888888888</v>
      </c>
      <c r="G9" s="3">
        <v>0.58333333333333337</v>
      </c>
      <c r="H9" s="3">
        <v>0.75208333333333333</v>
      </c>
      <c r="I9" s="24">
        <v>0.18333333333333299</v>
      </c>
      <c r="J9" s="24">
        <f t="shared" si="0"/>
        <v>0.19930555555555557</v>
      </c>
      <c r="K9" s="48">
        <f t="shared" si="0"/>
        <v>5.0694444444444486E-2</v>
      </c>
      <c r="L9" s="24">
        <v>0.266666666666666</v>
      </c>
      <c r="M9" s="25">
        <f t="shared" si="1"/>
        <v>0.16874999999999996</v>
      </c>
      <c r="N9" s="25">
        <f t="shared" si="2"/>
        <v>0.36805555555555552</v>
      </c>
      <c r="O9" s="25">
        <v>0.36666666666666697</v>
      </c>
      <c r="P9" s="27">
        <f t="shared" si="3"/>
        <v>1.3888888888885509E-3</v>
      </c>
    </row>
    <row r="10" spans="1:16">
      <c r="A10" s="1">
        <v>85</v>
      </c>
      <c r="B10" s="1" t="s">
        <v>84</v>
      </c>
      <c r="C10" s="1"/>
      <c r="D10" s="2">
        <v>46087</v>
      </c>
      <c r="E10" s="3">
        <v>0.32291666666666669</v>
      </c>
      <c r="F10" s="3">
        <v>0.53402777777777777</v>
      </c>
      <c r="G10" s="38">
        <v>0.58402777777777781</v>
      </c>
      <c r="H10" s="3">
        <v>0.75</v>
      </c>
      <c r="I10" s="24">
        <v>0.18333333333333299</v>
      </c>
      <c r="J10" s="24">
        <f t="shared" si="0"/>
        <v>0.21111111111111108</v>
      </c>
      <c r="K10" s="48">
        <f t="shared" si="0"/>
        <v>5.0000000000000044E-2</v>
      </c>
      <c r="L10" s="24">
        <v>0.266666666666666</v>
      </c>
      <c r="M10" s="25">
        <f t="shared" si="1"/>
        <v>0.16597222222222219</v>
      </c>
      <c r="N10" s="25">
        <f t="shared" si="2"/>
        <v>0.37708333333333327</v>
      </c>
      <c r="O10" s="25">
        <v>0.36666666666666697</v>
      </c>
      <c r="P10" s="27">
        <f t="shared" si="3"/>
        <v>1.0416666666666297E-2</v>
      </c>
    </row>
    <row r="11" spans="1:16">
      <c r="A11" s="1">
        <v>85</v>
      </c>
      <c r="B11" s="1" t="s">
        <v>84</v>
      </c>
      <c r="C11" s="1"/>
      <c r="D11" s="2">
        <v>46088</v>
      </c>
      <c r="E11" s="60" t="s">
        <v>75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2"/>
    </row>
    <row r="12" spans="1:16">
      <c r="A12" s="1">
        <v>85</v>
      </c>
      <c r="B12" s="1" t="s">
        <v>84</v>
      </c>
      <c r="C12" s="1"/>
      <c r="D12" s="2">
        <v>46089</v>
      </c>
      <c r="E12" s="57" t="s">
        <v>67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9"/>
    </row>
    <row r="13" spans="1:16">
      <c r="A13" s="1">
        <v>85</v>
      </c>
      <c r="B13" s="1" t="s">
        <v>84</v>
      </c>
      <c r="C13" s="1"/>
      <c r="D13" s="2">
        <v>46090</v>
      </c>
      <c r="E13" s="3">
        <v>0.3298611111111111</v>
      </c>
      <c r="F13" s="3">
        <v>0.53194444444444444</v>
      </c>
      <c r="G13" s="3">
        <v>0.58263888888888893</v>
      </c>
      <c r="H13" s="3">
        <v>0.75</v>
      </c>
      <c r="I13" s="24">
        <v>0.18333333333333332</v>
      </c>
      <c r="J13" s="24">
        <f>F13-E13</f>
        <v>0.20208333333333334</v>
      </c>
      <c r="K13" s="48">
        <f>G13-F13</f>
        <v>5.0694444444444486E-2</v>
      </c>
      <c r="L13" s="24">
        <v>0.18333333333333332</v>
      </c>
      <c r="M13" s="25">
        <f>H13-G13</f>
        <v>0.16736111111111107</v>
      </c>
      <c r="N13" s="25">
        <f t="shared" ref="N13:N18" si="4">M13+J13</f>
        <v>0.36944444444444441</v>
      </c>
      <c r="O13" s="25">
        <f t="shared" ref="O13" si="5">I13+L13</f>
        <v>0.36666666666666664</v>
      </c>
      <c r="P13" s="27">
        <f t="shared" ref="P13:P18" si="6">N13-O13</f>
        <v>2.7777777777777679E-3</v>
      </c>
    </row>
    <row r="14" spans="1:16">
      <c r="A14" s="1">
        <v>85</v>
      </c>
      <c r="B14" s="1" t="s">
        <v>84</v>
      </c>
      <c r="C14" s="1"/>
      <c r="D14" s="2">
        <v>46091</v>
      </c>
      <c r="E14" s="3">
        <v>0.33333333333333331</v>
      </c>
      <c r="F14" s="3">
        <v>0.53194444444444444</v>
      </c>
      <c r="G14" s="3">
        <v>0.58263888888888893</v>
      </c>
      <c r="H14" s="38">
        <v>0.75</v>
      </c>
      <c r="I14" s="24">
        <v>0.18333333333333299</v>
      </c>
      <c r="J14" s="24">
        <f t="shared" ref="J14:J18" si="7">F14-E14</f>
        <v>0.19861111111111113</v>
      </c>
      <c r="K14" s="48">
        <f>G14-F14</f>
        <v>5.0694444444444486E-2</v>
      </c>
      <c r="L14" s="24">
        <v>0.266666666666666</v>
      </c>
      <c r="M14" s="25">
        <f t="shared" ref="M14:M18" si="8">H14-G14</f>
        <v>0.16736111111111107</v>
      </c>
      <c r="N14" s="25">
        <f t="shared" si="4"/>
        <v>0.3659722222222222</v>
      </c>
      <c r="O14" s="25">
        <v>0.36666666666666697</v>
      </c>
      <c r="P14" s="49">
        <f t="shared" ref="P14:P16" si="9">O14-N14</f>
        <v>6.9444444444477504E-4</v>
      </c>
    </row>
    <row r="15" spans="1:16">
      <c r="A15" s="1">
        <v>85</v>
      </c>
      <c r="B15" s="1" t="s">
        <v>84</v>
      </c>
      <c r="C15" s="1"/>
      <c r="D15" s="2">
        <v>46092</v>
      </c>
      <c r="E15" s="3">
        <v>0.32847222222222222</v>
      </c>
      <c r="F15" s="3">
        <v>0.54097222222222219</v>
      </c>
      <c r="G15" s="3">
        <v>0.59166666666666667</v>
      </c>
      <c r="H15" s="3">
        <v>0.75</v>
      </c>
      <c r="I15" s="24">
        <v>0.18333333333333299</v>
      </c>
      <c r="J15" s="24">
        <f t="shared" si="7"/>
        <v>0.21249999999999997</v>
      </c>
      <c r="K15" s="48">
        <f>G15-F15</f>
        <v>5.0694444444444486E-2</v>
      </c>
      <c r="L15" s="24">
        <v>0.266666666666666</v>
      </c>
      <c r="M15" s="25">
        <f t="shared" si="8"/>
        <v>0.15833333333333333</v>
      </c>
      <c r="N15" s="25">
        <f t="shared" si="4"/>
        <v>0.37083333333333329</v>
      </c>
      <c r="O15" s="25">
        <v>0.36666666666666697</v>
      </c>
      <c r="P15" s="27">
        <f t="shared" si="6"/>
        <v>4.1666666666663188E-3</v>
      </c>
    </row>
    <row r="16" spans="1:16">
      <c r="A16" s="1">
        <v>85</v>
      </c>
      <c r="B16" s="1" t="s">
        <v>84</v>
      </c>
      <c r="C16" s="1"/>
      <c r="D16" s="2">
        <v>46093</v>
      </c>
      <c r="E16" s="3">
        <v>0.33333333333333331</v>
      </c>
      <c r="F16" s="3">
        <v>0.53819444444444442</v>
      </c>
      <c r="G16" s="3">
        <v>0.58888888888888891</v>
      </c>
      <c r="H16" s="3">
        <v>0.75</v>
      </c>
      <c r="I16" s="24">
        <v>0.18333333333333299</v>
      </c>
      <c r="J16" s="24">
        <f t="shared" si="7"/>
        <v>0.2048611111111111</v>
      </c>
      <c r="K16" s="48">
        <f>G16-F16</f>
        <v>5.0694444444444486E-2</v>
      </c>
      <c r="L16" s="24">
        <v>0.266666666666666</v>
      </c>
      <c r="M16" s="25">
        <f t="shared" si="8"/>
        <v>0.16111111111111109</v>
      </c>
      <c r="N16" s="25">
        <f t="shared" si="4"/>
        <v>0.3659722222222222</v>
      </c>
      <c r="O16" s="25">
        <v>0.36666666666666697</v>
      </c>
      <c r="P16" s="49">
        <f t="shared" si="9"/>
        <v>6.9444444444477504E-4</v>
      </c>
    </row>
    <row r="17" spans="1:16">
      <c r="A17" s="1">
        <v>85</v>
      </c>
      <c r="B17" s="1" t="s">
        <v>84</v>
      </c>
      <c r="C17" s="1"/>
      <c r="D17" s="2">
        <v>46094</v>
      </c>
      <c r="E17" s="3">
        <v>0.32777777777777778</v>
      </c>
      <c r="F17" s="3">
        <v>0.53194444444444444</v>
      </c>
      <c r="G17" s="3">
        <v>0.58125000000000004</v>
      </c>
      <c r="H17" s="3">
        <v>0.75</v>
      </c>
      <c r="I17" s="24">
        <v>0.18333333333333299</v>
      </c>
      <c r="J17" s="24">
        <f t="shared" si="7"/>
        <v>0.20416666666666666</v>
      </c>
      <c r="K17" s="48">
        <f>G17-F17</f>
        <v>4.9305555555555602E-2</v>
      </c>
      <c r="L17" s="24">
        <v>0.266666666666666</v>
      </c>
      <c r="M17" s="25">
        <f t="shared" si="8"/>
        <v>0.16874999999999996</v>
      </c>
      <c r="N17" s="25">
        <f t="shared" si="4"/>
        <v>0.37291666666666662</v>
      </c>
      <c r="O17" s="25">
        <v>0.36666666666666697</v>
      </c>
      <c r="P17" s="27">
        <f t="shared" si="6"/>
        <v>6.2499999999996447E-3</v>
      </c>
    </row>
    <row r="18" spans="1:16">
      <c r="A18" s="1">
        <v>85</v>
      </c>
      <c r="B18" s="1" t="s">
        <v>84</v>
      </c>
      <c r="C18" s="1"/>
      <c r="D18" s="2">
        <v>46095</v>
      </c>
      <c r="E18" s="3">
        <v>0.28611111111111109</v>
      </c>
      <c r="F18" s="3">
        <v>0.45902777777777776</v>
      </c>
      <c r="G18" s="3">
        <v>0</v>
      </c>
      <c r="H18" s="3">
        <v>0</v>
      </c>
      <c r="I18" s="24">
        <v>0.18333333333333299</v>
      </c>
      <c r="J18" s="24">
        <f t="shared" si="7"/>
        <v>0.17291666666666666</v>
      </c>
      <c r="K18" s="48">
        <f>G18-F18</f>
        <v>-0.45902777777777776</v>
      </c>
      <c r="L18" s="24">
        <v>0.266666666666666</v>
      </c>
      <c r="M18" s="25">
        <f t="shared" si="8"/>
        <v>0</v>
      </c>
      <c r="N18" s="25">
        <f t="shared" si="4"/>
        <v>0.17291666666666666</v>
      </c>
      <c r="O18" s="25">
        <v>0</v>
      </c>
      <c r="P18" s="27">
        <f t="shared" si="6"/>
        <v>0.17291666666666666</v>
      </c>
    </row>
    <row r="19" spans="1:16">
      <c r="A19" s="1">
        <v>85</v>
      </c>
      <c r="B19" s="1" t="s">
        <v>84</v>
      </c>
      <c r="C19" s="1"/>
      <c r="D19" s="2">
        <v>46096</v>
      </c>
      <c r="E19" s="57" t="s">
        <v>67</v>
      </c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9"/>
    </row>
    <row r="20" spans="1:16">
      <c r="A20" s="1">
        <v>85</v>
      </c>
      <c r="B20" s="1" t="s">
        <v>84</v>
      </c>
      <c r="C20" s="1"/>
      <c r="D20" s="2">
        <v>46097</v>
      </c>
      <c r="E20" s="3">
        <v>0.33333333333333331</v>
      </c>
      <c r="F20" s="3">
        <v>0.53125</v>
      </c>
      <c r="G20" s="3">
        <v>0.58125000000000004</v>
      </c>
      <c r="H20" s="3">
        <v>0.75</v>
      </c>
      <c r="I20" s="24">
        <v>0.18333333333333332</v>
      </c>
      <c r="J20" s="24">
        <f>F20-E20</f>
        <v>0.19791666666666669</v>
      </c>
      <c r="K20" s="48">
        <f>G20-F20</f>
        <v>5.0000000000000044E-2</v>
      </c>
      <c r="L20" s="24">
        <v>0.18333333333333332</v>
      </c>
      <c r="M20" s="25">
        <f>H20-G20</f>
        <v>0.16874999999999996</v>
      </c>
      <c r="N20" s="25">
        <f t="shared" ref="N20:N24" si="10">M20+J20</f>
        <v>0.36666666666666664</v>
      </c>
      <c r="O20" s="25">
        <f t="shared" ref="O20" si="11">I20+L20</f>
        <v>0.36666666666666664</v>
      </c>
      <c r="P20" s="27">
        <f>N20-O20</f>
        <v>0</v>
      </c>
    </row>
    <row r="21" spans="1:16">
      <c r="A21" s="1">
        <v>85</v>
      </c>
      <c r="B21" s="1" t="s">
        <v>84</v>
      </c>
      <c r="C21" s="1"/>
      <c r="D21" s="2">
        <v>46098</v>
      </c>
      <c r="E21" s="3">
        <v>0.29166666666666669</v>
      </c>
      <c r="F21" s="3">
        <v>0.53125</v>
      </c>
      <c r="G21" s="3">
        <v>0.5805555555555556</v>
      </c>
      <c r="H21" s="38">
        <v>0.75</v>
      </c>
      <c r="I21" s="24">
        <v>0.18333333333333299</v>
      </c>
      <c r="J21" s="24">
        <f t="shared" ref="J21:J24" si="12">F21-E21</f>
        <v>0.23958333333333331</v>
      </c>
      <c r="K21" s="48">
        <f>G21-F21</f>
        <v>4.9305555555555602E-2</v>
      </c>
      <c r="L21" s="24">
        <v>0.266666666666666</v>
      </c>
      <c r="M21" s="25">
        <f t="shared" ref="M21:M24" si="13">H21-G21</f>
        <v>0.1694444444444444</v>
      </c>
      <c r="N21" s="25">
        <f t="shared" si="10"/>
        <v>0.40902777777777771</v>
      </c>
      <c r="O21" s="25">
        <v>0.36666666666666697</v>
      </c>
      <c r="P21" s="27">
        <f>N21-O21</f>
        <v>4.2361111111110739E-2</v>
      </c>
    </row>
    <row r="22" spans="1:16">
      <c r="A22" s="1">
        <v>85</v>
      </c>
      <c r="B22" s="1" t="s">
        <v>84</v>
      </c>
      <c r="C22" s="1"/>
      <c r="D22" s="2">
        <v>46099</v>
      </c>
      <c r="E22" s="3">
        <v>0.3263888888888889</v>
      </c>
      <c r="F22" s="3">
        <v>0.53194444444444444</v>
      </c>
      <c r="G22" s="3">
        <v>0.5854166666666667</v>
      </c>
      <c r="H22" s="3">
        <v>0.76527777777777772</v>
      </c>
      <c r="I22" s="24">
        <v>0.18333333333333299</v>
      </c>
      <c r="J22" s="24">
        <f t="shared" si="12"/>
        <v>0.20555555555555555</v>
      </c>
      <c r="K22" s="48">
        <f>G22-F22</f>
        <v>5.3472222222222254E-2</v>
      </c>
      <c r="L22" s="24">
        <v>0.266666666666666</v>
      </c>
      <c r="M22" s="25">
        <f t="shared" si="13"/>
        <v>0.17986111111111103</v>
      </c>
      <c r="N22" s="25">
        <f t="shared" si="10"/>
        <v>0.38541666666666657</v>
      </c>
      <c r="O22" s="25">
        <v>0.36666666666666697</v>
      </c>
      <c r="P22" s="27">
        <f>N22-O22</f>
        <v>1.87499999999996E-2</v>
      </c>
    </row>
    <row r="23" spans="1:16">
      <c r="A23" s="1">
        <v>85</v>
      </c>
      <c r="B23" s="1" t="s">
        <v>84</v>
      </c>
      <c r="C23" s="1"/>
      <c r="D23" s="2">
        <v>46100</v>
      </c>
      <c r="E23" s="3">
        <v>0.32569444444444445</v>
      </c>
      <c r="F23" s="3">
        <v>0.53263888888888888</v>
      </c>
      <c r="G23" s="3">
        <v>0.58263888888888893</v>
      </c>
      <c r="H23" s="3">
        <v>0.75</v>
      </c>
      <c r="I23" s="24">
        <v>0.18333333333333299</v>
      </c>
      <c r="J23" s="24">
        <f t="shared" si="12"/>
        <v>0.20694444444444443</v>
      </c>
      <c r="K23" s="48">
        <f>G23-F23</f>
        <v>5.0000000000000044E-2</v>
      </c>
      <c r="L23" s="24">
        <v>0.266666666666666</v>
      </c>
      <c r="M23" s="25">
        <f t="shared" si="13"/>
        <v>0.16736111111111107</v>
      </c>
      <c r="N23" s="25">
        <f t="shared" si="10"/>
        <v>0.3743055555555555</v>
      </c>
      <c r="O23" s="25">
        <v>0.36666666666666697</v>
      </c>
      <c r="P23" s="27">
        <f>N23-O23</f>
        <v>7.6388888888885287E-3</v>
      </c>
    </row>
    <row r="24" spans="1:16">
      <c r="A24" s="1">
        <v>85</v>
      </c>
      <c r="B24" s="1" t="s">
        <v>84</v>
      </c>
      <c r="C24" s="1"/>
      <c r="D24" s="2">
        <v>46101</v>
      </c>
      <c r="E24" s="3">
        <v>0.2902777777777778</v>
      </c>
      <c r="F24" s="3">
        <v>0.53194444444444444</v>
      </c>
      <c r="G24" s="3">
        <v>0.58263888888888893</v>
      </c>
      <c r="H24" s="3">
        <v>0.70833333333333337</v>
      </c>
      <c r="I24" s="24">
        <v>0.18333333333333299</v>
      </c>
      <c r="J24" s="24">
        <f t="shared" si="12"/>
        <v>0.24166666666666664</v>
      </c>
      <c r="K24" s="48">
        <f>G24-F24</f>
        <v>5.0694444444444486E-2</v>
      </c>
      <c r="L24" s="24">
        <v>0.266666666666666</v>
      </c>
      <c r="M24" s="25">
        <f t="shared" si="13"/>
        <v>0.12569444444444444</v>
      </c>
      <c r="N24" s="25">
        <f t="shared" si="10"/>
        <v>0.36736111111111108</v>
      </c>
      <c r="O24" s="25">
        <v>0.36666666666666697</v>
      </c>
      <c r="P24" s="27">
        <f>N24-O24</f>
        <v>6.9444444444410891E-4</v>
      </c>
    </row>
    <row r="25" spans="1:16">
      <c r="A25" s="1">
        <v>85</v>
      </c>
      <c r="B25" s="1" t="s">
        <v>84</v>
      </c>
      <c r="C25" s="1"/>
      <c r="D25" s="2">
        <v>46102</v>
      </c>
      <c r="E25" s="60" t="s">
        <v>75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2"/>
    </row>
    <row r="26" spans="1:16">
      <c r="A26" s="1">
        <v>85</v>
      </c>
      <c r="B26" s="1" t="s">
        <v>84</v>
      </c>
      <c r="C26" s="1"/>
      <c r="D26" s="2">
        <v>46103</v>
      </c>
      <c r="E26" s="57" t="s">
        <v>67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9"/>
    </row>
    <row r="27" spans="1:16">
      <c r="A27" s="1">
        <v>85</v>
      </c>
      <c r="B27" s="1" t="s">
        <v>84</v>
      </c>
      <c r="C27" s="1"/>
      <c r="D27" s="2">
        <v>46104</v>
      </c>
      <c r="E27" s="3">
        <v>0.33333333333333331</v>
      </c>
      <c r="F27" s="3">
        <v>0.53194444444444444</v>
      </c>
      <c r="G27" s="3">
        <v>0.58402777777777781</v>
      </c>
      <c r="H27" s="3">
        <v>0.75</v>
      </c>
      <c r="I27" s="24">
        <v>0.18333333333333332</v>
      </c>
      <c r="J27" s="24">
        <f>F27-E27</f>
        <v>0.19861111111111113</v>
      </c>
      <c r="K27" s="48">
        <f>G27-F27</f>
        <v>5.208333333333337E-2</v>
      </c>
      <c r="L27" s="24">
        <v>0.18333333333333332</v>
      </c>
      <c r="M27" s="25">
        <f>H27-G27</f>
        <v>0.16597222222222219</v>
      </c>
      <c r="N27" s="25">
        <f t="shared" ref="N27:N31" si="14">M27+J27</f>
        <v>0.36458333333333331</v>
      </c>
      <c r="O27" s="25">
        <f t="shared" ref="O27" si="15">I27+L27</f>
        <v>0.36666666666666664</v>
      </c>
      <c r="P27" s="49">
        <f t="shared" ref="P27:P28" si="16">O27-N27</f>
        <v>2.0833333333333259E-3</v>
      </c>
    </row>
    <row r="28" spans="1:16">
      <c r="A28" s="1">
        <v>85</v>
      </c>
      <c r="B28" s="1" t="s">
        <v>84</v>
      </c>
      <c r="C28" s="1"/>
      <c r="D28" s="2">
        <v>46105</v>
      </c>
      <c r="E28" s="3">
        <v>0.33333333333333331</v>
      </c>
      <c r="F28" s="3">
        <v>0.53194444444444444</v>
      </c>
      <c r="G28" s="3">
        <v>0.58263888888888893</v>
      </c>
      <c r="H28" s="38">
        <v>0.75</v>
      </c>
      <c r="I28" s="24">
        <v>0.18333333333333299</v>
      </c>
      <c r="J28" s="24">
        <f t="shared" ref="J28:J31" si="17">F28-E28</f>
        <v>0.19861111111111113</v>
      </c>
      <c r="K28" s="48">
        <f>G28-F28</f>
        <v>5.0694444444444486E-2</v>
      </c>
      <c r="L28" s="24">
        <v>0.266666666666666</v>
      </c>
      <c r="M28" s="25">
        <f t="shared" ref="M28:M31" si="18">H28-G28</f>
        <v>0.16736111111111107</v>
      </c>
      <c r="N28" s="25">
        <f t="shared" si="14"/>
        <v>0.3659722222222222</v>
      </c>
      <c r="O28" s="25">
        <v>0.36666666666666697</v>
      </c>
      <c r="P28" s="49">
        <f t="shared" si="16"/>
        <v>6.9444444444477504E-4</v>
      </c>
    </row>
    <row r="29" spans="1:16">
      <c r="A29" s="1">
        <v>85</v>
      </c>
      <c r="B29" s="1" t="s">
        <v>84</v>
      </c>
      <c r="C29" s="1"/>
      <c r="D29" s="2">
        <v>46106</v>
      </c>
      <c r="E29" s="3">
        <v>0.32847222222222222</v>
      </c>
      <c r="F29" s="3">
        <v>0.53472222222222221</v>
      </c>
      <c r="G29" s="3">
        <v>0.58472222222222225</v>
      </c>
      <c r="H29" s="3">
        <v>0.75</v>
      </c>
      <c r="I29" s="24">
        <v>0.18333333333333299</v>
      </c>
      <c r="J29" s="24">
        <f t="shared" si="17"/>
        <v>0.20624999999999999</v>
      </c>
      <c r="K29" s="48">
        <f>G29-F29</f>
        <v>5.0000000000000044E-2</v>
      </c>
      <c r="L29" s="24">
        <v>0.266666666666666</v>
      </c>
      <c r="M29" s="25">
        <f t="shared" si="18"/>
        <v>0.16527777777777775</v>
      </c>
      <c r="N29" s="25">
        <f t="shared" si="14"/>
        <v>0.37152777777777773</v>
      </c>
      <c r="O29" s="25">
        <v>0.36666666666666697</v>
      </c>
      <c r="P29" s="27">
        <f t="shared" ref="P29:P31" si="19">N29-O29</f>
        <v>4.8611111111107608E-3</v>
      </c>
    </row>
    <row r="30" spans="1:16">
      <c r="A30" s="1">
        <v>85</v>
      </c>
      <c r="B30" s="1" t="s">
        <v>84</v>
      </c>
      <c r="C30" s="1"/>
      <c r="D30" s="2">
        <v>46107</v>
      </c>
      <c r="E30" s="3">
        <v>0.31458333333333333</v>
      </c>
      <c r="F30" s="3">
        <v>0.54305555555555551</v>
      </c>
      <c r="G30" s="3">
        <v>0.59166666666666667</v>
      </c>
      <c r="H30" s="3">
        <v>0.75</v>
      </c>
      <c r="I30" s="24">
        <v>0.18333333333333299</v>
      </c>
      <c r="J30" s="24">
        <f t="shared" si="17"/>
        <v>0.22847222222222219</v>
      </c>
      <c r="K30" s="48">
        <f>G30-F30</f>
        <v>4.861111111111116E-2</v>
      </c>
      <c r="L30" s="24">
        <v>0.266666666666666</v>
      </c>
      <c r="M30" s="25">
        <f t="shared" si="18"/>
        <v>0.15833333333333333</v>
      </c>
      <c r="N30" s="25">
        <f t="shared" si="14"/>
        <v>0.38680555555555551</v>
      </c>
      <c r="O30" s="25">
        <v>0.36666666666666697</v>
      </c>
      <c r="P30" s="27">
        <f t="shared" si="19"/>
        <v>2.013888888888854E-2</v>
      </c>
    </row>
    <row r="31" spans="1:16">
      <c r="A31" s="1">
        <v>85</v>
      </c>
      <c r="B31" s="1" t="s">
        <v>84</v>
      </c>
      <c r="C31" s="1"/>
      <c r="D31" s="2">
        <v>46108</v>
      </c>
      <c r="E31" s="3">
        <v>0.32708333333333334</v>
      </c>
      <c r="F31" s="3">
        <v>0.53819444444444442</v>
      </c>
      <c r="G31" s="3">
        <v>0.58819444444444446</v>
      </c>
      <c r="H31" s="3">
        <v>0.75</v>
      </c>
      <c r="I31" s="24">
        <v>0.18333333333333299</v>
      </c>
      <c r="J31" s="24">
        <f t="shared" si="17"/>
        <v>0.21111111111111108</v>
      </c>
      <c r="K31" s="48">
        <f>G31-F31</f>
        <v>5.0000000000000044E-2</v>
      </c>
      <c r="L31" s="24">
        <v>0.266666666666666</v>
      </c>
      <c r="M31" s="25">
        <f t="shared" si="18"/>
        <v>0.16180555555555554</v>
      </c>
      <c r="N31" s="25">
        <f t="shared" si="14"/>
        <v>0.37291666666666662</v>
      </c>
      <c r="O31" s="25">
        <v>0.36666666666666697</v>
      </c>
      <c r="P31" s="27">
        <f t="shared" si="19"/>
        <v>6.2499999999996447E-3</v>
      </c>
    </row>
    <row r="32" spans="1:16">
      <c r="A32" s="1">
        <v>85</v>
      </c>
      <c r="B32" s="1" t="s">
        <v>84</v>
      </c>
      <c r="C32" s="1"/>
      <c r="D32" s="2">
        <v>46109</v>
      </c>
      <c r="E32" s="60" t="s">
        <v>75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2"/>
    </row>
    <row r="33" spans="1:16">
      <c r="A33" s="1">
        <v>85</v>
      </c>
      <c r="B33" s="1" t="s">
        <v>84</v>
      </c>
      <c r="C33" s="1"/>
      <c r="D33" s="2">
        <v>46110</v>
      </c>
      <c r="E33" s="57" t="s">
        <v>67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</row>
    <row r="34" spans="1:16">
      <c r="A34" s="1">
        <v>85</v>
      </c>
      <c r="B34" s="1" t="s">
        <v>84</v>
      </c>
      <c r="C34" s="1"/>
      <c r="D34" s="2">
        <v>46111</v>
      </c>
      <c r="E34" s="3">
        <v>0.31874999999999998</v>
      </c>
      <c r="F34" s="3">
        <v>0.53125</v>
      </c>
      <c r="G34" s="3">
        <v>0.58125000000000004</v>
      </c>
      <c r="H34" s="3">
        <v>0.75</v>
      </c>
      <c r="I34" s="24">
        <v>0.18333333333333332</v>
      </c>
      <c r="J34" s="24">
        <f>F34-E34</f>
        <v>0.21250000000000002</v>
      </c>
      <c r="K34" s="48">
        <f>G34-F34</f>
        <v>5.0000000000000044E-2</v>
      </c>
      <c r="L34" s="24">
        <v>0.18333333333333332</v>
      </c>
      <c r="M34" s="25">
        <f>H34-G34</f>
        <v>0.16874999999999996</v>
      </c>
      <c r="N34" s="25">
        <f t="shared" ref="N34:N35" si="20">M34+J34</f>
        <v>0.38124999999999998</v>
      </c>
      <c r="O34" s="25">
        <f t="shared" ref="O34" si="21">I34+L34</f>
        <v>0.36666666666666664</v>
      </c>
      <c r="P34" s="27">
        <f>N34-O34</f>
        <v>1.4583333333333337E-2</v>
      </c>
    </row>
    <row r="35" spans="1:16">
      <c r="A35" s="1">
        <v>85</v>
      </c>
      <c r="B35" s="1" t="s">
        <v>84</v>
      </c>
      <c r="C35" s="1"/>
      <c r="D35" s="2">
        <v>46112</v>
      </c>
      <c r="E35" s="3">
        <v>0.32430555555555557</v>
      </c>
      <c r="F35" s="3">
        <v>0.53194444444444444</v>
      </c>
      <c r="G35" s="3">
        <v>0.58125000000000004</v>
      </c>
      <c r="H35" s="38">
        <v>0.75</v>
      </c>
      <c r="I35" s="24">
        <v>0.18333333333333299</v>
      </c>
      <c r="J35" s="24">
        <f t="shared" ref="J35" si="22">F35-E35</f>
        <v>0.20763888888888887</v>
      </c>
      <c r="K35" s="48">
        <f>G35-F35</f>
        <v>4.9305555555555602E-2</v>
      </c>
      <c r="L35" s="24">
        <v>0.266666666666666</v>
      </c>
      <c r="M35" s="25">
        <f t="shared" ref="M35" si="23">H35-G35</f>
        <v>0.16874999999999996</v>
      </c>
      <c r="N35" s="25">
        <f t="shared" si="20"/>
        <v>0.37638888888888883</v>
      </c>
      <c r="O35" s="25">
        <v>0.36666666666666697</v>
      </c>
      <c r="P35" s="27">
        <f>N35-O35</f>
        <v>9.7222222222218546E-3</v>
      </c>
    </row>
    <row r="36" spans="1:16">
      <c r="E36" s="45"/>
      <c r="F36" s="45"/>
      <c r="G36" s="45"/>
      <c r="H36" s="45"/>
      <c r="I36" s="46"/>
      <c r="J36" s="46"/>
      <c r="K36" s="46"/>
      <c r="L36" s="46"/>
      <c r="M36" s="15"/>
      <c r="N36" s="15"/>
      <c r="O36" s="15"/>
      <c r="P36" s="15"/>
    </row>
    <row r="37" spans="1:16">
      <c r="A37" s="4"/>
      <c r="B37" s="4"/>
      <c r="C37" s="5" t="s">
        <v>60</v>
      </c>
      <c r="D37" s="21">
        <f>SUM(P6,P7,P8,P9,P10,P13,P15,P17,P18,P20,P21,P22,P23,P24,P29,P30,P31,P34,P35)</f>
        <v>0.32361111111110646</v>
      </c>
    </row>
    <row r="38" spans="1:16">
      <c r="A38" s="4"/>
      <c r="B38" s="4"/>
      <c r="C38" s="7" t="s">
        <v>62</v>
      </c>
      <c r="D38" s="8">
        <f>P4</f>
        <v>0</v>
      </c>
      <c r="E38" s="9"/>
      <c r="F38" s="68" t="s">
        <v>61</v>
      </c>
      <c r="G38" s="68"/>
      <c r="H38" s="68"/>
      <c r="I38" s="9"/>
      <c r="J38" s="68" t="s">
        <v>68</v>
      </c>
      <c r="K38" s="68"/>
      <c r="L38" s="68"/>
      <c r="M38" s="9"/>
      <c r="N38" s="68" t="s">
        <v>69</v>
      </c>
      <c r="O38" s="68"/>
      <c r="P38" s="68"/>
    </row>
    <row r="39" spans="1:16">
      <c r="A39" s="68" t="s">
        <v>64</v>
      </c>
      <c r="B39" s="68"/>
      <c r="C39" s="10" t="s">
        <v>65</v>
      </c>
      <c r="D39" s="34">
        <f>SUM(P14,P16,P27,P28)</f>
        <v>4.1666666666676511E-3</v>
      </c>
      <c r="E39" s="9"/>
      <c r="F39" s="11"/>
      <c r="G39" s="67" t="s">
        <v>63</v>
      </c>
      <c r="H39" s="67"/>
      <c r="I39" s="9"/>
      <c r="J39" s="66" t="s">
        <v>70</v>
      </c>
      <c r="K39" s="66"/>
      <c r="L39" s="21">
        <v>0.15625</v>
      </c>
      <c r="M39" s="9"/>
      <c r="N39" s="67" t="s">
        <v>77</v>
      </c>
      <c r="O39" s="67"/>
      <c r="P39" s="31">
        <f>L39</f>
        <v>0.15625</v>
      </c>
    </row>
    <row r="40" spans="1:16">
      <c r="A40" s="13"/>
      <c r="B40" s="13"/>
      <c r="C40" s="47" t="s">
        <v>78</v>
      </c>
      <c r="D40" s="14">
        <v>0</v>
      </c>
      <c r="E40" s="15"/>
      <c r="F40" s="16"/>
      <c r="G40" s="67" t="s">
        <v>60</v>
      </c>
      <c r="H40" s="67"/>
      <c r="I40" s="9"/>
      <c r="J40" s="66" t="s">
        <v>104</v>
      </c>
      <c r="K40" s="66"/>
      <c r="L40" s="52">
        <v>0.31944444444444442</v>
      </c>
      <c r="M40" s="9"/>
      <c r="N40" s="67" t="s">
        <v>105</v>
      </c>
      <c r="O40" s="67"/>
      <c r="P40" s="52">
        <v>0.31944444444444442</v>
      </c>
    </row>
    <row r="41" spans="1:16">
      <c r="A41" s="9"/>
      <c r="B41" s="9"/>
      <c r="C41" s="17"/>
      <c r="D41" s="18"/>
      <c r="E41" s="9"/>
      <c r="F41" s="19"/>
      <c r="G41" s="12" t="s">
        <v>65</v>
      </c>
      <c r="H41" s="12"/>
      <c r="I41" s="9"/>
      <c r="J41" s="63" t="s">
        <v>81</v>
      </c>
      <c r="K41" s="64"/>
      <c r="L41" s="14">
        <v>0</v>
      </c>
      <c r="M41" s="9"/>
      <c r="N41" s="65" t="s">
        <v>72</v>
      </c>
      <c r="O41" s="65"/>
      <c r="P41" s="21">
        <f>P39+P40</f>
        <v>0.47569444444444442</v>
      </c>
    </row>
    <row r="42" spans="1:16">
      <c r="A42" s="9"/>
      <c r="B42" s="9"/>
      <c r="C42" s="20" t="s">
        <v>66</v>
      </c>
      <c r="D42" s="52">
        <f>SUM(D37-D39)</f>
        <v>0.31944444444443881</v>
      </c>
      <c r="E42" s="9"/>
      <c r="F42" s="22"/>
      <c r="G42" s="12" t="s">
        <v>79</v>
      </c>
      <c r="H42" s="12"/>
      <c r="I42" s="9"/>
      <c r="J42" s="66"/>
      <c r="K42" s="66"/>
      <c r="L42" s="28">
        <v>0</v>
      </c>
      <c r="M42" s="9"/>
      <c r="N42" s="67" t="s">
        <v>73</v>
      </c>
      <c r="O42" s="67"/>
      <c r="P42" s="29">
        <v>0</v>
      </c>
    </row>
    <row r="43" spans="1:16">
      <c r="E43" s="9"/>
      <c r="F43" s="23"/>
      <c r="G43" s="67" t="s">
        <v>71</v>
      </c>
      <c r="H43" s="67"/>
      <c r="I43" s="9"/>
      <c r="J43" s="65"/>
      <c r="K43" s="65"/>
      <c r="L43" s="30">
        <v>0</v>
      </c>
      <c r="M43" s="9"/>
      <c r="N43" s="65" t="s">
        <v>74</v>
      </c>
      <c r="O43" s="65"/>
      <c r="P43" s="21">
        <f>P41</f>
        <v>0.47569444444444442</v>
      </c>
    </row>
    <row r="45" spans="1:16">
      <c r="J45" s="53" t="s">
        <v>80</v>
      </c>
      <c r="K45" s="53"/>
    </row>
    <row r="46" spans="1:16">
      <c r="J46" s="53"/>
      <c r="K46" s="53"/>
    </row>
  </sheetData>
  <mergeCells count="43"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  <mergeCell ref="P3:P4"/>
    <mergeCell ref="E5:P5"/>
    <mergeCell ref="E12:P12"/>
    <mergeCell ref="E19:P19"/>
    <mergeCell ref="E11:P11"/>
    <mergeCell ref="J3:J4"/>
    <mergeCell ref="K3:K4"/>
    <mergeCell ref="L3:L4"/>
    <mergeCell ref="M3:M4"/>
    <mergeCell ref="N3:N4"/>
    <mergeCell ref="O3:O4"/>
    <mergeCell ref="J38:L38"/>
    <mergeCell ref="N38:P38"/>
    <mergeCell ref="A39:B39"/>
    <mergeCell ref="G39:H39"/>
    <mergeCell ref="J39:K39"/>
    <mergeCell ref="N39:O39"/>
    <mergeCell ref="G43:H43"/>
    <mergeCell ref="J43:K43"/>
    <mergeCell ref="N43:O43"/>
    <mergeCell ref="J45:K46"/>
    <mergeCell ref="E25:P25"/>
    <mergeCell ref="E26:P26"/>
    <mergeCell ref="E33:P33"/>
    <mergeCell ref="E32:P32"/>
    <mergeCell ref="G40:H40"/>
    <mergeCell ref="J40:K40"/>
    <mergeCell ref="N40:O40"/>
    <mergeCell ref="J41:K41"/>
    <mergeCell ref="N41:O41"/>
    <mergeCell ref="J42:K42"/>
    <mergeCell ref="N42:O42"/>
    <mergeCell ref="F38:H38"/>
  </mergeCells>
  <pageMargins left="0.51181102362204722" right="0.51181102362204722" top="0.78740157480314965" bottom="0.78740157480314965" header="0.31496062992125984" footer="0.31496062992125984"/>
  <pageSetup paperSize="9" scale="77" orientation="landscape" r:id="rId1"/>
  <ignoredErrors>
    <ignoredError sqref="P14:P16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C1E8-B7CE-432C-8293-EA966DFBAEF7}">
  <sheetPr>
    <pageSetUpPr fitToPage="1"/>
  </sheetPr>
  <dimension ref="A1:P46"/>
  <sheetViews>
    <sheetView tabSelected="1" workbookViewId="0">
      <selection activeCell="D5" sqref="D5:P34"/>
    </sheetView>
  </sheetViews>
  <sheetFormatPr defaultRowHeight="12.75"/>
  <cols>
    <col min="2" max="2" width="12.140625" customWidth="1"/>
    <col min="3" max="3" width="17.42578125" customWidth="1"/>
    <col min="4" max="4" width="12.140625" customWidth="1"/>
  </cols>
  <sheetData>
    <row r="1" spans="1:16" ht="31.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0"/>
      <c r="K1" s="80"/>
      <c r="L1" s="80"/>
      <c r="M1" s="81"/>
      <c r="N1" s="81"/>
      <c r="O1" s="81"/>
      <c r="P1" s="82"/>
    </row>
    <row r="2" spans="1:16" ht="13.5" thickBot="1">
      <c r="A2" s="83" t="s">
        <v>106</v>
      </c>
      <c r="B2" s="84"/>
      <c r="C2" s="84"/>
      <c r="D2" s="85"/>
      <c r="E2" s="86"/>
      <c r="F2" s="86"/>
      <c r="G2" s="86"/>
      <c r="H2" s="86"/>
      <c r="I2" s="86"/>
      <c r="J2" s="86"/>
      <c r="K2" s="86"/>
      <c r="L2" s="86"/>
      <c r="M2" s="87"/>
      <c r="N2" s="87"/>
      <c r="O2" s="87"/>
      <c r="P2" s="88"/>
    </row>
    <row r="3" spans="1:16" ht="13.5" thickBot="1">
      <c r="A3" s="89" t="s">
        <v>2</v>
      </c>
      <c r="B3" s="91" t="s">
        <v>3</v>
      </c>
      <c r="C3" s="93" t="s">
        <v>4</v>
      </c>
      <c r="D3" s="91" t="s">
        <v>5</v>
      </c>
      <c r="E3" s="93" t="s">
        <v>6</v>
      </c>
      <c r="F3" s="93"/>
      <c r="G3" s="93" t="s">
        <v>7</v>
      </c>
      <c r="H3" s="93"/>
      <c r="I3" s="73" t="s">
        <v>8</v>
      </c>
      <c r="J3" s="71" t="s">
        <v>9</v>
      </c>
      <c r="K3" s="73" t="s">
        <v>10</v>
      </c>
      <c r="L3" s="73" t="s">
        <v>11</v>
      </c>
      <c r="M3" s="76" t="s">
        <v>12</v>
      </c>
      <c r="N3" s="76" t="s">
        <v>13</v>
      </c>
      <c r="O3" s="76" t="s">
        <v>14</v>
      </c>
      <c r="P3" s="69" t="s">
        <v>15</v>
      </c>
    </row>
    <row r="4" spans="1:16">
      <c r="A4" s="90"/>
      <c r="B4" s="92"/>
      <c r="C4" s="94"/>
      <c r="D4" s="92"/>
      <c r="E4" s="94"/>
      <c r="F4" s="94"/>
      <c r="G4" s="94"/>
      <c r="H4" s="94"/>
      <c r="I4" s="75"/>
      <c r="J4" s="72"/>
      <c r="K4" s="74"/>
      <c r="L4" s="75"/>
      <c r="M4" s="77"/>
      <c r="N4" s="77"/>
      <c r="O4" s="77"/>
      <c r="P4" s="70"/>
    </row>
    <row r="5" spans="1:16">
      <c r="A5" s="1">
        <v>85</v>
      </c>
      <c r="B5" s="1" t="s">
        <v>84</v>
      </c>
      <c r="C5" s="1"/>
      <c r="D5" s="2">
        <v>46113</v>
      </c>
      <c r="E5" s="3">
        <v>0.29097222222222224</v>
      </c>
      <c r="F5" s="3">
        <v>0.5541666666666667</v>
      </c>
      <c r="G5" s="3">
        <v>0.60277777777777775</v>
      </c>
      <c r="H5" s="3">
        <v>0.75</v>
      </c>
      <c r="I5" s="24">
        <v>0.18333333333333299</v>
      </c>
      <c r="J5" s="24">
        <f t="shared" ref="J5:J6" si="0">F5-E5</f>
        <v>0.26319444444444445</v>
      </c>
      <c r="K5" s="48">
        <f t="shared" ref="K5:K6" si="1">G5-F5</f>
        <v>4.8611111111111049E-2</v>
      </c>
      <c r="L5" s="24">
        <v>0.266666666666666</v>
      </c>
      <c r="M5" s="25">
        <f t="shared" ref="M5:M6" si="2">H5-G5</f>
        <v>0.14722222222222225</v>
      </c>
      <c r="N5" s="25">
        <f t="shared" ref="N5:N6" si="3">M5+J5</f>
        <v>0.41041666666666671</v>
      </c>
      <c r="O5" s="25">
        <v>0.36666666666666697</v>
      </c>
      <c r="P5" s="27">
        <f t="shared" ref="P5:P6" si="4">N5-O5</f>
        <v>4.3749999999999734E-2</v>
      </c>
    </row>
    <row r="6" spans="1:16">
      <c r="A6" s="1">
        <v>85</v>
      </c>
      <c r="B6" s="1" t="s">
        <v>84</v>
      </c>
      <c r="C6" s="1"/>
      <c r="D6" s="2">
        <v>46114</v>
      </c>
      <c r="E6" s="3">
        <v>0.3298611111111111</v>
      </c>
      <c r="F6" s="3">
        <v>0.53194444444444444</v>
      </c>
      <c r="G6" s="38">
        <v>0.58263888888888893</v>
      </c>
      <c r="H6" s="3">
        <v>0.75</v>
      </c>
      <c r="I6" s="24">
        <v>0.18333333333333299</v>
      </c>
      <c r="J6" s="24">
        <f t="shared" si="0"/>
        <v>0.20208333333333334</v>
      </c>
      <c r="K6" s="48">
        <f t="shared" si="1"/>
        <v>5.0694444444444486E-2</v>
      </c>
      <c r="L6" s="24">
        <v>0.266666666666666</v>
      </c>
      <c r="M6" s="25">
        <f t="shared" si="2"/>
        <v>0.16736111111111107</v>
      </c>
      <c r="N6" s="25">
        <f t="shared" si="3"/>
        <v>0.36944444444444441</v>
      </c>
      <c r="O6" s="25">
        <v>0.36666666666666697</v>
      </c>
      <c r="P6" s="27">
        <f t="shared" si="4"/>
        <v>2.7777777777774348E-3</v>
      </c>
    </row>
    <row r="7" spans="1:16">
      <c r="A7" s="1">
        <v>85</v>
      </c>
      <c r="B7" s="1" t="s">
        <v>84</v>
      </c>
      <c r="C7" s="1"/>
      <c r="D7" s="2">
        <v>46115</v>
      </c>
      <c r="E7" s="54" t="s">
        <v>91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</row>
    <row r="8" spans="1:16">
      <c r="A8" s="1">
        <v>85</v>
      </c>
      <c r="B8" s="1" t="s">
        <v>84</v>
      </c>
      <c r="C8" s="1"/>
      <c r="D8" s="2">
        <v>46116</v>
      </c>
      <c r="E8" s="57" t="s">
        <v>67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9"/>
    </row>
    <row r="9" spans="1:16">
      <c r="A9" s="1">
        <v>85</v>
      </c>
      <c r="B9" s="1" t="s">
        <v>84</v>
      </c>
      <c r="C9" s="1"/>
      <c r="D9" s="2">
        <v>46117</v>
      </c>
      <c r="E9" s="57" t="s">
        <v>67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9"/>
    </row>
    <row r="10" spans="1:16">
      <c r="A10" s="1">
        <v>85</v>
      </c>
      <c r="B10" s="1" t="s">
        <v>84</v>
      </c>
      <c r="C10" s="1"/>
      <c r="D10" s="2">
        <v>46118</v>
      </c>
      <c r="E10" s="3">
        <v>0.32916666666666666</v>
      </c>
      <c r="F10" s="3">
        <v>0.53125</v>
      </c>
      <c r="G10" s="3">
        <v>0.58125000000000004</v>
      </c>
      <c r="H10" s="3">
        <v>0.75</v>
      </c>
      <c r="I10" s="24">
        <v>0.18333333333333332</v>
      </c>
      <c r="J10" s="24">
        <f>F10-E10</f>
        <v>0.20208333333333334</v>
      </c>
      <c r="K10" s="48">
        <f>G10-F10</f>
        <v>5.0000000000000044E-2</v>
      </c>
      <c r="L10" s="24">
        <v>0.18333333333333332</v>
      </c>
      <c r="M10" s="25">
        <f>H10-G10</f>
        <v>0.16874999999999996</v>
      </c>
      <c r="N10" s="25">
        <f t="shared" ref="N10:N14" si="5">M10+J10</f>
        <v>0.37083333333333329</v>
      </c>
      <c r="O10" s="25">
        <f t="shared" ref="O10" si="6">I10+L10</f>
        <v>0.36666666666666664</v>
      </c>
      <c r="P10" s="27">
        <f>N10-O10</f>
        <v>4.1666666666666519E-3</v>
      </c>
    </row>
    <row r="11" spans="1:16">
      <c r="A11" s="1">
        <v>85</v>
      </c>
      <c r="B11" s="1" t="s">
        <v>84</v>
      </c>
      <c r="C11" s="1"/>
      <c r="D11" s="2">
        <v>46119</v>
      </c>
      <c r="E11" s="3">
        <v>0.33333333333333331</v>
      </c>
      <c r="F11" s="3">
        <v>0.53125</v>
      </c>
      <c r="G11" s="3">
        <v>0.5805555555555556</v>
      </c>
      <c r="H11" s="38">
        <v>0.75</v>
      </c>
      <c r="I11" s="24">
        <v>0.18333333333333299</v>
      </c>
      <c r="J11" s="24">
        <f t="shared" ref="J11:J14" si="7">F11-E11</f>
        <v>0.19791666666666669</v>
      </c>
      <c r="K11" s="48">
        <f>G11-F11</f>
        <v>4.9305555555555602E-2</v>
      </c>
      <c r="L11" s="24">
        <v>0.266666666666666</v>
      </c>
      <c r="M11" s="25">
        <f t="shared" ref="M11:M14" si="8">H11-G11</f>
        <v>0.1694444444444444</v>
      </c>
      <c r="N11" s="25">
        <f t="shared" si="5"/>
        <v>0.36736111111111108</v>
      </c>
      <c r="O11" s="25">
        <v>0.36666666666666697</v>
      </c>
      <c r="P11" s="27">
        <f>N11-O11</f>
        <v>6.9444444444410891E-4</v>
      </c>
    </row>
    <row r="12" spans="1:16">
      <c r="A12" s="1">
        <v>85</v>
      </c>
      <c r="B12" s="1" t="s">
        <v>84</v>
      </c>
      <c r="C12" s="1"/>
      <c r="D12" s="2">
        <v>46120</v>
      </c>
      <c r="E12" s="3">
        <v>0.33055555555555555</v>
      </c>
      <c r="F12" s="3">
        <v>0.53333333333333333</v>
      </c>
      <c r="G12" s="3">
        <v>0.58402777777777781</v>
      </c>
      <c r="H12" s="3">
        <v>0.75</v>
      </c>
      <c r="I12" s="24">
        <v>0.18333333333333299</v>
      </c>
      <c r="J12" s="24">
        <f t="shared" si="7"/>
        <v>0.20277777777777778</v>
      </c>
      <c r="K12" s="48">
        <f>G12-F12</f>
        <v>5.0694444444444486E-2</v>
      </c>
      <c r="L12" s="24">
        <v>0.266666666666666</v>
      </c>
      <c r="M12" s="25">
        <f t="shared" si="8"/>
        <v>0.16597222222222219</v>
      </c>
      <c r="N12" s="25">
        <f t="shared" si="5"/>
        <v>0.36874999999999997</v>
      </c>
      <c r="O12" s="25">
        <v>0.36666666666666697</v>
      </c>
      <c r="P12" s="27">
        <f>N12-O12</f>
        <v>2.0833333333329929E-3</v>
      </c>
    </row>
    <row r="13" spans="1:16">
      <c r="A13" s="1">
        <v>85</v>
      </c>
      <c r="B13" s="1" t="s">
        <v>84</v>
      </c>
      <c r="C13" s="1"/>
      <c r="D13" s="2">
        <v>46121</v>
      </c>
      <c r="E13" s="3">
        <v>0.33055555555555555</v>
      </c>
      <c r="F13" s="3">
        <v>0.55347222222222225</v>
      </c>
      <c r="G13" s="3">
        <v>0.60416666666666663</v>
      </c>
      <c r="H13" s="3">
        <v>0.75</v>
      </c>
      <c r="I13" s="24">
        <v>0.18333333333333299</v>
      </c>
      <c r="J13" s="24">
        <f t="shared" si="7"/>
        <v>0.22291666666666671</v>
      </c>
      <c r="K13" s="48">
        <f>G13-F13</f>
        <v>5.0694444444444375E-2</v>
      </c>
      <c r="L13" s="24">
        <v>0.266666666666666</v>
      </c>
      <c r="M13" s="25">
        <f t="shared" si="8"/>
        <v>0.14583333333333337</v>
      </c>
      <c r="N13" s="25">
        <f t="shared" si="5"/>
        <v>0.36875000000000008</v>
      </c>
      <c r="O13" s="25">
        <v>0.36666666666666697</v>
      </c>
      <c r="P13" s="27">
        <f>N13-O13</f>
        <v>2.0833333333331039E-3</v>
      </c>
    </row>
    <row r="14" spans="1:16">
      <c r="A14" s="1">
        <v>85</v>
      </c>
      <c r="B14" s="1" t="s">
        <v>84</v>
      </c>
      <c r="C14" s="1"/>
      <c r="D14" s="2">
        <v>46122</v>
      </c>
      <c r="E14" s="3">
        <v>0.33055555555555555</v>
      </c>
      <c r="F14" s="3">
        <v>0.54027777777777775</v>
      </c>
      <c r="G14" s="3">
        <v>0.59027777777777779</v>
      </c>
      <c r="H14" s="3">
        <v>0.76249999999999996</v>
      </c>
      <c r="I14" s="24">
        <v>0.18333333333333299</v>
      </c>
      <c r="J14" s="24">
        <f t="shared" si="7"/>
        <v>0.2097222222222222</v>
      </c>
      <c r="K14" s="48">
        <f>G14-F14</f>
        <v>5.0000000000000044E-2</v>
      </c>
      <c r="L14" s="24">
        <v>0.266666666666666</v>
      </c>
      <c r="M14" s="25">
        <f t="shared" si="8"/>
        <v>0.17222222222222217</v>
      </c>
      <c r="N14" s="25">
        <f t="shared" si="5"/>
        <v>0.38194444444444436</v>
      </c>
      <c r="O14" s="25">
        <v>0.36666666666666697</v>
      </c>
      <c r="P14" s="27">
        <f>N14-O14</f>
        <v>1.527777777777739E-2</v>
      </c>
    </row>
    <row r="15" spans="1:16">
      <c r="A15" s="1">
        <v>85</v>
      </c>
      <c r="B15" s="1" t="s">
        <v>84</v>
      </c>
      <c r="C15" s="1"/>
      <c r="D15" s="2">
        <v>46123</v>
      </c>
      <c r="E15" s="60" t="s">
        <v>75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2"/>
    </row>
    <row r="16" spans="1:16">
      <c r="A16" s="1">
        <v>85</v>
      </c>
      <c r="B16" s="1" t="s">
        <v>84</v>
      </c>
      <c r="C16" s="1"/>
      <c r="D16" s="2">
        <v>46124</v>
      </c>
      <c r="E16" s="57" t="s">
        <v>67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9"/>
    </row>
    <row r="17" spans="1:16">
      <c r="A17" s="1">
        <v>85</v>
      </c>
      <c r="B17" s="1" t="s">
        <v>84</v>
      </c>
      <c r="C17" s="1"/>
      <c r="D17" s="2">
        <v>46125</v>
      </c>
      <c r="E17" s="3">
        <v>0.32847222222222222</v>
      </c>
      <c r="F17" s="3">
        <v>0.53263888888888888</v>
      </c>
      <c r="G17" s="3">
        <v>0.58194444444444449</v>
      </c>
      <c r="H17" s="3">
        <v>0.75</v>
      </c>
      <c r="I17" s="24">
        <v>0.18333333333333332</v>
      </c>
      <c r="J17" s="24">
        <f>F17-E17</f>
        <v>0.20416666666666666</v>
      </c>
      <c r="K17" s="48">
        <f>G17-F17</f>
        <v>4.9305555555555602E-2</v>
      </c>
      <c r="L17" s="24">
        <v>0.18333333333333332</v>
      </c>
      <c r="M17" s="25">
        <f>H17-G17</f>
        <v>0.16805555555555551</v>
      </c>
      <c r="N17" s="25">
        <f t="shared" ref="N17:N21" si="9">M17+J17</f>
        <v>0.37222222222222218</v>
      </c>
      <c r="O17" s="25">
        <f t="shared" ref="O17" si="10">I17+L17</f>
        <v>0.36666666666666664</v>
      </c>
      <c r="P17" s="27">
        <f>N17-O17</f>
        <v>5.5555555555555358E-3</v>
      </c>
    </row>
    <row r="18" spans="1:16">
      <c r="A18" s="1">
        <v>85</v>
      </c>
      <c r="B18" s="1" t="s">
        <v>84</v>
      </c>
      <c r="C18" s="1"/>
      <c r="D18" s="2">
        <v>46126</v>
      </c>
      <c r="E18" s="3">
        <v>0.32847222222222222</v>
      </c>
      <c r="F18" s="3">
        <v>0.53263888888888888</v>
      </c>
      <c r="G18" s="3">
        <v>0.58402777777777781</v>
      </c>
      <c r="H18" s="38">
        <v>0.75</v>
      </c>
      <c r="I18" s="24">
        <v>0.18333333333333299</v>
      </c>
      <c r="J18" s="24">
        <f t="shared" ref="J18:J21" si="11">F18-E18</f>
        <v>0.20416666666666666</v>
      </c>
      <c r="K18" s="48">
        <f>G18-F18</f>
        <v>5.1388888888888928E-2</v>
      </c>
      <c r="L18" s="24">
        <v>0.266666666666666</v>
      </c>
      <c r="M18" s="25">
        <f t="shared" ref="M18:M21" si="12">H18-G18</f>
        <v>0.16597222222222219</v>
      </c>
      <c r="N18" s="25">
        <f t="shared" si="9"/>
        <v>0.37013888888888885</v>
      </c>
      <c r="O18" s="25">
        <v>0.36666666666666697</v>
      </c>
      <c r="P18" s="27">
        <f>N18-O18</f>
        <v>3.4722222222218768E-3</v>
      </c>
    </row>
    <row r="19" spans="1:16">
      <c r="A19" s="1">
        <v>85</v>
      </c>
      <c r="B19" s="1" t="s">
        <v>84</v>
      </c>
      <c r="C19" s="1"/>
      <c r="D19" s="2">
        <v>46127</v>
      </c>
      <c r="E19" s="3">
        <v>0.3298611111111111</v>
      </c>
      <c r="F19" s="3">
        <v>0.53263888888888888</v>
      </c>
      <c r="G19" s="3">
        <v>0.58263888888888893</v>
      </c>
      <c r="H19" s="3">
        <v>0.75208333333333333</v>
      </c>
      <c r="I19" s="24">
        <v>0.18333333333333299</v>
      </c>
      <c r="J19" s="24">
        <f t="shared" si="11"/>
        <v>0.20277777777777778</v>
      </c>
      <c r="K19" s="48">
        <f>G19-F19</f>
        <v>5.0000000000000044E-2</v>
      </c>
      <c r="L19" s="24">
        <v>0.266666666666666</v>
      </c>
      <c r="M19" s="25">
        <f t="shared" si="12"/>
        <v>0.1694444444444444</v>
      </c>
      <c r="N19" s="25">
        <f t="shared" si="9"/>
        <v>0.37222222222222218</v>
      </c>
      <c r="O19" s="25">
        <v>0.36666666666666697</v>
      </c>
      <c r="P19" s="27">
        <f>N19-O19</f>
        <v>5.5555555555552028E-3</v>
      </c>
    </row>
    <row r="20" spans="1:16">
      <c r="A20" s="1">
        <v>85</v>
      </c>
      <c r="B20" s="1" t="s">
        <v>84</v>
      </c>
      <c r="C20" s="1"/>
      <c r="D20" s="2">
        <v>46128</v>
      </c>
      <c r="E20" s="3">
        <v>0.29444444444444445</v>
      </c>
      <c r="F20" s="3">
        <v>0.54166666666666663</v>
      </c>
      <c r="G20" s="3">
        <v>0.59166666666666667</v>
      </c>
      <c r="H20" s="3">
        <v>0.75</v>
      </c>
      <c r="I20" s="24">
        <v>0.18333333333333299</v>
      </c>
      <c r="J20" s="24">
        <f t="shared" si="11"/>
        <v>0.24722222222222218</v>
      </c>
      <c r="K20" s="48">
        <f>G20-F20</f>
        <v>5.0000000000000044E-2</v>
      </c>
      <c r="L20" s="24">
        <v>0.266666666666666</v>
      </c>
      <c r="M20" s="25">
        <f t="shared" si="12"/>
        <v>0.15833333333333333</v>
      </c>
      <c r="N20" s="25">
        <f t="shared" si="9"/>
        <v>0.4055555555555555</v>
      </c>
      <c r="O20" s="25">
        <v>0.36666666666666697</v>
      </c>
      <c r="P20" s="27">
        <f>N20-O20</f>
        <v>3.8888888888888529E-2</v>
      </c>
    </row>
    <row r="21" spans="1:16">
      <c r="A21" s="1">
        <v>85</v>
      </c>
      <c r="B21" s="1" t="s">
        <v>84</v>
      </c>
      <c r="C21" s="1"/>
      <c r="D21" s="2">
        <v>46129</v>
      </c>
      <c r="E21" s="3">
        <v>0.33333333333333331</v>
      </c>
      <c r="F21" s="3">
        <v>0.53611111111111109</v>
      </c>
      <c r="G21" s="3">
        <v>0.5854166666666667</v>
      </c>
      <c r="H21" s="3">
        <v>0.75</v>
      </c>
      <c r="I21" s="24">
        <v>0.18333333333333299</v>
      </c>
      <c r="J21" s="24">
        <f t="shared" si="11"/>
        <v>0.20277777777777778</v>
      </c>
      <c r="K21" s="48">
        <f>G21-F21</f>
        <v>4.9305555555555602E-2</v>
      </c>
      <c r="L21" s="24">
        <v>0.266666666666666</v>
      </c>
      <c r="M21" s="25">
        <f t="shared" si="12"/>
        <v>0.1645833333333333</v>
      </c>
      <c r="N21" s="25">
        <f t="shared" si="9"/>
        <v>0.36736111111111108</v>
      </c>
      <c r="O21" s="25">
        <v>0.36666666666666697</v>
      </c>
      <c r="P21" s="27">
        <f>N21-O21</f>
        <v>6.9444444444410891E-4</v>
      </c>
    </row>
    <row r="22" spans="1:16">
      <c r="A22" s="1">
        <v>85</v>
      </c>
      <c r="B22" s="1" t="s">
        <v>84</v>
      </c>
      <c r="C22" s="1"/>
      <c r="D22" s="2">
        <v>46130</v>
      </c>
      <c r="E22" s="60" t="s">
        <v>75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2"/>
    </row>
    <row r="23" spans="1:16">
      <c r="A23" s="1">
        <v>85</v>
      </c>
      <c r="B23" s="1" t="s">
        <v>84</v>
      </c>
      <c r="C23" s="1"/>
      <c r="D23" s="2">
        <v>46131</v>
      </c>
      <c r="E23" s="57" t="s">
        <v>67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9"/>
    </row>
    <row r="24" spans="1:16">
      <c r="A24" s="1">
        <v>85</v>
      </c>
      <c r="B24" s="1" t="s">
        <v>84</v>
      </c>
      <c r="C24" s="1"/>
      <c r="D24" s="2">
        <v>46132</v>
      </c>
      <c r="E24" s="3">
        <v>0.32847222222222222</v>
      </c>
      <c r="F24" s="3">
        <v>0.51458333333333328</v>
      </c>
      <c r="G24" s="3">
        <v>0.56527777777777777</v>
      </c>
      <c r="H24" s="3">
        <v>0.75347222222222221</v>
      </c>
      <c r="I24" s="24">
        <v>0.18333333333333332</v>
      </c>
      <c r="J24" s="24">
        <f>F24-E24</f>
        <v>0.18611111111111106</v>
      </c>
      <c r="K24" s="48">
        <f>G24-F24</f>
        <v>5.0694444444444486E-2</v>
      </c>
      <c r="L24" s="24">
        <v>0.18333333333333332</v>
      </c>
      <c r="M24" s="25">
        <f>H24-G24</f>
        <v>0.18819444444444444</v>
      </c>
      <c r="N24" s="25">
        <f t="shared" ref="N24:N28" si="13">M24+J24</f>
        <v>0.3743055555555555</v>
      </c>
      <c r="O24" s="25">
        <f t="shared" ref="O24" si="14">I24+L24</f>
        <v>0.36666666666666664</v>
      </c>
      <c r="P24" s="27">
        <f>N24-O24</f>
        <v>7.6388888888888618E-3</v>
      </c>
    </row>
    <row r="25" spans="1:16">
      <c r="A25" s="1">
        <v>85</v>
      </c>
      <c r="B25" s="1" t="s">
        <v>84</v>
      </c>
      <c r="C25" s="1"/>
      <c r="D25" s="2">
        <v>46133</v>
      </c>
      <c r="E25" s="54" t="s">
        <v>91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6"/>
    </row>
    <row r="26" spans="1:16">
      <c r="A26" s="1">
        <v>85</v>
      </c>
      <c r="B26" s="1" t="s">
        <v>84</v>
      </c>
      <c r="C26" s="1"/>
      <c r="D26" s="2">
        <v>46134</v>
      </c>
      <c r="E26" s="3">
        <v>0.33124999999999999</v>
      </c>
      <c r="F26" s="3">
        <v>0.5</v>
      </c>
      <c r="G26" s="3">
        <v>0.55000000000000004</v>
      </c>
      <c r="H26" s="3">
        <v>0.75</v>
      </c>
      <c r="I26" s="24">
        <v>0.18333333333333299</v>
      </c>
      <c r="J26" s="24">
        <f t="shared" ref="J26:J28" si="15">F26-E26</f>
        <v>0.16875000000000001</v>
      </c>
      <c r="K26" s="48">
        <f>G26-F26</f>
        <v>5.0000000000000044E-2</v>
      </c>
      <c r="L26" s="24">
        <v>0.266666666666666</v>
      </c>
      <c r="M26" s="25">
        <f t="shared" ref="M26:M28" si="16">H26-G26</f>
        <v>0.19999999999999996</v>
      </c>
      <c r="N26" s="25">
        <f t="shared" si="13"/>
        <v>0.36874999999999997</v>
      </c>
      <c r="O26" s="25">
        <v>0.36666666666666697</v>
      </c>
      <c r="P26" s="27">
        <f>N26-O26</f>
        <v>2.0833333333329929E-3</v>
      </c>
    </row>
    <row r="27" spans="1:16">
      <c r="A27" s="1">
        <v>85</v>
      </c>
      <c r="B27" s="1" t="s">
        <v>84</v>
      </c>
      <c r="C27" s="1"/>
      <c r="D27" s="2">
        <v>46135</v>
      </c>
      <c r="E27" s="3">
        <v>0.3298611111111111</v>
      </c>
      <c r="F27" s="3">
        <v>0.5</v>
      </c>
      <c r="G27" s="3">
        <v>0.54861111111111116</v>
      </c>
      <c r="H27" s="3">
        <v>0.75</v>
      </c>
      <c r="I27" s="24">
        <v>0.18333333333333299</v>
      </c>
      <c r="J27" s="24">
        <f t="shared" si="15"/>
        <v>0.1701388888888889</v>
      </c>
      <c r="K27" s="48">
        <f>G27-F27</f>
        <v>4.861111111111116E-2</v>
      </c>
      <c r="L27" s="24">
        <v>0.266666666666666</v>
      </c>
      <c r="M27" s="25">
        <f t="shared" si="16"/>
        <v>0.20138888888888884</v>
      </c>
      <c r="N27" s="25">
        <f t="shared" si="13"/>
        <v>0.37152777777777773</v>
      </c>
      <c r="O27" s="25">
        <v>0.36666666666666697</v>
      </c>
      <c r="P27" s="27">
        <f>N27-O27</f>
        <v>4.8611111111107608E-3</v>
      </c>
    </row>
    <row r="28" spans="1:16">
      <c r="A28" s="1">
        <v>85</v>
      </c>
      <c r="B28" s="1" t="s">
        <v>84</v>
      </c>
      <c r="C28" s="1"/>
      <c r="D28" s="2">
        <v>46136</v>
      </c>
      <c r="E28" s="3">
        <v>0.32777777777777778</v>
      </c>
      <c r="F28" s="3">
        <v>0.5</v>
      </c>
      <c r="G28" s="3">
        <v>0.55000000000000004</v>
      </c>
      <c r="H28" s="3">
        <v>0.75277777777777777</v>
      </c>
      <c r="I28" s="24">
        <v>0.18333333333333299</v>
      </c>
      <c r="J28" s="24">
        <f t="shared" si="15"/>
        <v>0.17222222222222222</v>
      </c>
      <c r="K28" s="48">
        <f>G28-F28</f>
        <v>5.0000000000000044E-2</v>
      </c>
      <c r="L28" s="24">
        <v>0.266666666666666</v>
      </c>
      <c r="M28" s="25">
        <f t="shared" si="16"/>
        <v>0.20277777777777772</v>
      </c>
      <c r="N28" s="25">
        <f t="shared" si="13"/>
        <v>0.37499999999999994</v>
      </c>
      <c r="O28" s="25">
        <v>0.36666666666666697</v>
      </c>
      <c r="P28" s="27">
        <f>N28-O28</f>
        <v>8.3333333333329707E-3</v>
      </c>
    </row>
    <row r="29" spans="1:16">
      <c r="A29" s="1">
        <v>85</v>
      </c>
      <c r="B29" s="1" t="s">
        <v>84</v>
      </c>
      <c r="C29" s="1"/>
      <c r="D29" s="2">
        <v>46137</v>
      </c>
      <c r="E29" s="60" t="s">
        <v>75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2"/>
    </row>
    <row r="30" spans="1:16">
      <c r="A30" s="1">
        <v>85</v>
      </c>
      <c r="B30" s="1" t="s">
        <v>84</v>
      </c>
      <c r="C30" s="1"/>
      <c r="D30" s="2">
        <v>46138</v>
      </c>
      <c r="E30" s="57" t="s">
        <v>67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9"/>
    </row>
    <row r="31" spans="1:16">
      <c r="A31" s="1">
        <v>85</v>
      </c>
      <c r="B31" s="1" t="s">
        <v>84</v>
      </c>
      <c r="C31" s="1"/>
      <c r="D31" s="2">
        <v>46139</v>
      </c>
      <c r="E31" s="3">
        <v>0.33055555555555555</v>
      </c>
      <c r="F31" s="3">
        <v>0.50069444444444444</v>
      </c>
      <c r="G31" s="3">
        <v>0.55069444444444449</v>
      </c>
      <c r="H31" s="3">
        <v>0.75208333333333333</v>
      </c>
      <c r="I31" s="24">
        <v>0.18333333333333332</v>
      </c>
      <c r="J31" s="24">
        <f>F31-E31</f>
        <v>0.1701388888888889</v>
      </c>
      <c r="K31" s="48">
        <f>G31-F31</f>
        <v>5.0000000000000044E-2</v>
      </c>
      <c r="L31" s="24">
        <v>0.18333333333333332</v>
      </c>
      <c r="M31" s="25">
        <f>H31-G31</f>
        <v>0.20138888888888884</v>
      </c>
      <c r="N31" s="25">
        <f t="shared" ref="N31:N34" si="17">M31+J31</f>
        <v>0.37152777777777773</v>
      </c>
      <c r="O31" s="25">
        <f t="shared" ref="O31" si="18">I31+L31</f>
        <v>0.36666666666666664</v>
      </c>
      <c r="P31" s="27">
        <f>N31-O31</f>
        <v>4.8611111111110938E-3</v>
      </c>
    </row>
    <row r="32" spans="1:16">
      <c r="A32" s="1">
        <v>85</v>
      </c>
      <c r="B32" s="1" t="s">
        <v>84</v>
      </c>
      <c r="C32" s="1"/>
      <c r="D32" s="2">
        <v>46140</v>
      </c>
      <c r="E32" s="3">
        <v>0.33333333333333331</v>
      </c>
      <c r="F32" s="3">
        <v>0.50138888888888888</v>
      </c>
      <c r="G32" s="3">
        <v>0.55069444444444449</v>
      </c>
      <c r="H32" s="38">
        <v>0.75</v>
      </c>
      <c r="I32" s="24">
        <v>0.18333333333333299</v>
      </c>
      <c r="J32" s="24">
        <f t="shared" ref="J32:J34" si="19">F32-E32</f>
        <v>0.16805555555555557</v>
      </c>
      <c r="K32" s="48">
        <f>G32-F32</f>
        <v>4.9305555555555602E-2</v>
      </c>
      <c r="L32" s="24">
        <v>0.266666666666666</v>
      </c>
      <c r="M32" s="25">
        <f t="shared" ref="M32:M34" si="20">H32-G32</f>
        <v>0.19930555555555551</v>
      </c>
      <c r="N32" s="25">
        <f t="shared" si="17"/>
        <v>0.36736111111111108</v>
      </c>
      <c r="O32" s="25">
        <v>0.36666666666666697</v>
      </c>
      <c r="P32" s="27">
        <f>N32-O32</f>
        <v>6.9444444444410891E-4</v>
      </c>
    </row>
    <row r="33" spans="1:16">
      <c r="A33" s="1">
        <v>85</v>
      </c>
      <c r="B33" s="1" t="s">
        <v>84</v>
      </c>
      <c r="C33" s="1"/>
      <c r="D33" s="2">
        <v>46141</v>
      </c>
      <c r="E33" s="3">
        <v>0.32847222222222222</v>
      </c>
      <c r="F33" s="3">
        <v>0.50069444444444444</v>
      </c>
      <c r="G33" s="3">
        <v>0.55069444444444449</v>
      </c>
      <c r="H33" s="3">
        <v>0.75</v>
      </c>
      <c r="I33" s="24">
        <v>0.18333333333333299</v>
      </c>
      <c r="J33" s="24">
        <f t="shared" si="19"/>
        <v>0.17222222222222222</v>
      </c>
      <c r="K33" s="48">
        <f>G33-F33</f>
        <v>5.0000000000000044E-2</v>
      </c>
      <c r="L33" s="24">
        <v>0.266666666666666</v>
      </c>
      <c r="M33" s="25">
        <f t="shared" si="20"/>
        <v>0.19930555555555551</v>
      </c>
      <c r="N33" s="25">
        <f t="shared" si="17"/>
        <v>0.37152777777777773</v>
      </c>
      <c r="O33" s="25">
        <v>0.36666666666666697</v>
      </c>
      <c r="P33" s="27">
        <f>N33-O33</f>
        <v>4.8611111111107608E-3</v>
      </c>
    </row>
    <row r="34" spans="1:16">
      <c r="A34" s="1">
        <v>85</v>
      </c>
      <c r="B34" s="1" t="s">
        <v>84</v>
      </c>
      <c r="C34" s="1"/>
      <c r="D34" s="2">
        <v>46142</v>
      </c>
      <c r="E34" s="3">
        <v>0.32847222222222222</v>
      </c>
      <c r="F34" s="3">
        <v>0.50069444444444444</v>
      </c>
      <c r="G34" s="3">
        <v>0.55069444444444449</v>
      </c>
      <c r="H34" s="3">
        <v>0.75</v>
      </c>
      <c r="I34" s="24">
        <v>0.18333333333333299</v>
      </c>
      <c r="J34" s="24">
        <f t="shared" si="19"/>
        <v>0.17222222222222222</v>
      </c>
      <c r="K34" s="48">
        <f>G34-F34</f>
        <v>5.0000000000000044E-2</v>
      </c>
      <c r="L34" s="24">
        <v>0.266666666666666</v>
      </c>
      <c r="M34" s="25">
        <f t="shared" si="20"/>
        <v>0.19930555555555551</v>
      </c>
      <c r="N34" s="25">
        <f t="shared" si="17"/>
        <v>0.37152777777777773</v>
      </c>
      <c r="O34" s="25">
        <v>0.36666666666666697</v>
      </c>
      <c r="P34" s="27">
        <f>N34-O34</f>
        <v>4.8611111111107608E-3</v>
      </c>
    </row>
    <row r="35" spans="1:16">
      <c r="E35" s="45"/>
      <c r="F35" s="45"/>
      <c r="G35" s="45"/>
      <c r="H35" s="45"/>
      <c r="I35" s="46"/>
      <c r="J35" s="46"/>
      <c r="K35" s="46"/>
      <c r="L35" s="46"/>
      <c r="M35" s="15"/>
      <c r="N35" s="15"/>
      <c r="O35" s="15"/>
      <c r="P35" s="15"/>
    </row>
    <row r="36" spans="1:16">
      <c r="A36" s="4"/>
      <c r="B36" s="4"/>
      <c r="C36" s="5" t="s">
        <v>60</v>
      </c>
      <c r="D36" s="21">
        <f>SUM(P5,P6,P10,P11,P12,P13,P14,P17,P18,P19,P20,P21,P24,P26,P27)</f>
        <v>0.13958333333332928</v>
      </c>
    </row>
    <row r="37" spans="1:16">
      <c r="A37" s="4"/>
      <c r="B37" s="4"/>
      <c r="C37" s="7" t="s">
        <v>62</v>
      </c>
      <c r="D37" s="8">
        <f>P4</f>
        <v>0</v>
      </c>
      <c r="E37" s="9"/>
      <c r="F37" s="68" t="s">
        <v>61</v>
      </c>
      <c r="G37" s="68"/>
      <c r="H37" s="68"/>
      <c r="I37" s="9"/>
      <c r="J37" s="68" t="s">
        <v>68</v>
      </c>
      <c r="K37" s="68"/>
      <c r="L37" s="68"/>
      <c r="M37" s="9"/>
      <c r="N37" s="68" t="s">
        <v>69</v>
      </c>
      <c r="O37" s="68"/>
      <c r="P37" s="68"/>
    </row>
    <row r="38" spans="1:16">
      <c r="A38" s="68" t="s">
        <v>64</v>
      </c>
      <c r="B38" s="68"/>
      <c r="C38" s="10" t="s">
        <v>65</v>
      </c>
      <c r="D38" s="34">
        <v>0</v>
      </c>
      <c r="E38" s="9"/>
      <c r="F38" s="11"/>
      <c r="G38" s="67" t="s">
        <v>63</v>
      </c>
      <c r="H38" s="67"/>
      <c r="I38" s="9"/>
      <c r="J38" s="66" t="s">
        <v>70</v>
      </c>
      <c r="K38" s="66"/>
      <c r="L38" s="21">
        <v>0.47569444444444442</v>
      </c>
      <c r="M38" s="9"/>
      <c r="N38" s="67" t="s">
        <v>77</v>
      </c>
      <c r="O38" s="67"/>
      <c r="P38" s="31">
        <f>L38</f>
        <v>0.47569444444444442</v>
      </c>
    </row>
    <row r="39" spans="1:16">
      <c r="A39" s="13"/>
      <c r="B39" s="13"/>
      <c r="C39" s="47" t="s">
        <v>78</v>
      </c>
      <c r="D39" s="14">
        <v>0</v>
      </c>
      <c r="E39" s="15"/>
      <c r="F39" s="16"/>
      <c r="G39" s="67" t="s">
        <v>60</v>
      </c>
      <c r="H39" s="67"/>
      <c r="I39" s="9"/>
      <c r="J39" s="66" t="s">
        <v>107</v>
      </c>
      <c r="K39" s="66"/>
      <c r="L39" s="52">
        <v>0.13958333333333334</v>
      </c>
      <c r="M39" s="9"/>
      <c r="N39" s="67" t="s">
        <v>108</v>
      </c>
      <c r="O39" s="67"/>
      <c r="P39" s="52">
        <v>0.13958333333333334</v>
      </c>
    </row>
    <row r="40" spans="1:16">
      <c r="A40" s="9"/>
      <c r="B40" s="9"/>
      <c r="C40" s="17"/>
      <c r="D40" s="18"/>
      <c r="E40" s="9"/>
      <c r="F40" s="19"/>
      <c r="G40" s="12" t="s">
        <v>65</v>
      </c>
      <c r="H40" s="12"/>
      <c r="I40" s="9"/>
      <c r="J40" s="63" t="s">
        <v>81</v>
      </c>
      <c r="K40" s="64"/>
      <c r="L40" s="14">
        <v>0</v>
      </c>
      <c r="M40" s="9"/>
      <c r="N40" s="65" t="s">
        <v>72</v>
      </c>
      <c r="O40" s="65"/>
      <c r="P40" s="21">
        <f>P38+P39</f>
        <v>0.61527777777777781</v>
      </c>
    </row>
    <row r="41" spans="1:16">
      <c r="A41" s="9"/>
      <c r="B41" s="9"/>
      <c r="C41" s="20" t="s">
        <v>66</v>
      </c>
      <c r="D41" s="52">
        <f>SUM(D36-D38)</f>
        <v>0.13958333333332928</v>
      </c>
      <c r="E41" s="9"/>
      <c r="F41" s="22"/>
      <c r="G41" s="12" t="s">
        <v>79</v>
      </c>
      <c r="H41" s="12"/>
      <c r="I41" s="9"/>
      <c r="J41" s="66"/>
      <c r="K41" s="66"/>
      <c r="L41" s="28">
        <v>0</v>
      </c>
      <c r="M41" s="9"/>
      <c r="N41" s="67" t="s">
        <v>73</v>
      </c>
      <c r="O41" s="67"/>
      <c r="P41" s="29">
        <v>0</v>
      </c>
    </row>
    <row r="42" spans="1:16">
      <c r="E42" s="9"/>
      <c r="F42" s="23"/>
      <c r="G42" s="67" t="s">
        <v>71</v>
      </c>
      <c r="H42" s="67"/>
      <c r="I42" s="9"/>
      <c r="J42" s="65"/>
      <c r="K42" s="65"/>
      <c r="L42" s="30">
        <v>0</v>
      </c>
      <c r="M42" s="9"/>
      <c r="N42" s="65" t="s">
        <v>74</v>
      </c>
      <c r="O42" s="65"/>
      <c r="P42" s="21">
        <f>P40</f>
        <v>0.61527777777777781</v>
      </c>
    </row>
    <row r="44" spans="1:16">
      <c r="J44" s="53" t="s">
        <v>80</v>
      </c>
      <c r="K44" s="53"/>
    </row>
    <row r="45" spans="1:16">
      <c r="J45" s="53"/>
      <c r="K45" s="53"/>
    </row>
    <row r="46" spans="1:16">
      <c r="O46" t="s">
        <v>109</v>
      </c>
    </row>
  </sheetData>
  <mergeCells count="45">
    <mergeCell ref="A1:P1"/>
    <mergeCell ref="A2:C2"/>
    <mergeCell ref="D2:P2"/>
    <mergeCell ref="A3:A4"/>
    <mergeCell ref="B3:B4"/>
    <mergeCell ref="C3:C4"/>
    <mergeCell ref="D3:D4"/>
    <mergeCell ref="E3:F4"/>
    <mergeCell ref="G3:H4"/>
    <mergeCell ref="I3:I4"/>
    <mergeCell ref="F37:H37"/>
    <mergeCell ref="J37:L37"/>
    <mergeCell ref="N37:P37"/>
    <mergeCell ref="P3:P4"/>
    <mergeCell ref="E25:P25"/>
    <mergeCell ref="J3:J4"/>
    <mergeCell ref="K3:K4"/>
    <mergeCell ref="L3:L4"/>
    <mergeCell ref="M3:M4"/>
    <mergeCell ref="N3:N4"/>
    <mergeCell ref="O3:O4"/>
    <mergeCell ref="N42:O42"/>
    <mergeCell ref="A38:B38"/>
    <mergeCell ref="G38:H38"/>
    <mergeCell ref="J38:K38"/>
    <mergeCell ref="N38:O38"/>
    <mergeCell ref="G39:H39"/>
    <mergeCell ref="J39:K39"/>
    <mergeCell ref="N39:O39"/>
    <mergeCell ref="J44:K45"/>
    <mergeCell ref="E7:P7"/>
    <mergeCell ref="E8:P8"/>
    <mergeCell ref="E9:P9"/>
    <mergeCell ref="E15:P15"/>
    <mergeCell ref="E16:P16"/>
    <mergeCell ref="E22:P22"/>
    <mergeCell ref="E23:P23"/>
    <mergeCell ref="E29:P29"/>
    <mergeCell ref="E30:P30"/>
    <mergeCell ref="J40:K40"/>
    <mergeCell ref="N40:O40"/>
    <mergeCell ref="J41:K41"/>
    <mergeCell ref="N41:O41"/>
    <mergeCell ref="G42:H42"/>
    <mergeCell ref="J42:K42"/>
  </mergeCells>
  <pageMargins left="0.51181102362204722" right="0.51181102362204722" top="0.78740157480314965" bottom="0.78740157480314965" header="0.31496062992125984" footer="0.31496062992125984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MODELO</vt:lpstr>
      <vt:lpstr>AGOSTO 2025</vt:lpstr>
      <vt:lpstr>SETEMBRO 2025</vt:lpstr>
      <vt:lpstr>OUTUBRO 2025</vt:lpstr>
      <vt:lpstr>NOVEMBRO 2025</vt:lpstr>
      <vt:lpstr>DEZEMBRO 2025</vt:lpstr>
      <vt:lpstr>JANEIRO 2026</vt:lpstr>
      <vt:lpstr>FEVEREIRO</vt:lpstr>
      <vt:lpstr>MARÇO 2026</vt:lpstr>
      <vt:lpstr>ABRIL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prod01</dc:creator>
  <cp:lastModifiedBy>Elisabete Eduardo</cp:lastModifiedBy>
  <cp:lastPrinted>2026-05-06T17:24:55Z</cp:lastPrinted>
  <dcterms:created xsi:type="dcterms:W3CDTF">2021-07-16T19:12:00Z</dcterms:created>
  <dcterms:modified xsi:type="dcterms:W3CDTF">2026-05-06T22:16:19Z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04C84A82AADC40E495ACFBF8FC10E2DD</vt:lpwstr>
  </property>
</Properties>
</file>